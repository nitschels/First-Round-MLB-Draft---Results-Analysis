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90c706171d369a/"/>
    </mc:Choice>
  </mc:AlternateContent>
  <xr:revisionPtr revIDLastSave="1442" documentId="8_{77076ADC-F08B-4EDD-83BA-E24F7DDE759E}" xr6:coauthVersionLast="47" xr6:coauthVersionMax="47" xr10:uidLastSave="{933DC882-628D-4F93-9723-4F6F696BBE09}"/>
  <bookViews>
    <workbookView xWindow="-110" yWindow="-110" windowWidth="19420" windowHeight="10300" firstSheet="18" activeTab="23" xr2:uid="{9E66E492-D642-40AC-839B-A1ED5B6104C2}"/>
  </bookViews>
  <sheets>
    <sheet name="2001 Draft" sheetId="25" r:id="rId1"/>
    <sheet name="2002 Draft" sheetId="24" r:id="rId2"/>
    <sheet name="2003 Draft" sheetId="23" r:id="rId3"/>
    <sheet name="2004 Draft" sheetId="22" r:id="rId4"/>
    <sheet name="2005 Draft" sheetId="21" r:id="rId5"/>
    <sheet name="2006 Draft" sheetId="20" r:id="rId6"/>
    <sheet name="2007 Draft" sheetId="19" r:id="rId7"/>
    <sheet name="2008 Draft" sheetId="18" r:id="rId8"/>
    <sheet name="2009 Draft" sheetId="17" r:id="rId9"/>
    <sheet name="2010 Draft" sheetId="16" r:id="rId10"/>
    <sheet name="2011 Draft" sheetId="15" r:id="rId11"/>
    <sheet name="2012 Draft" sheetId="14" r:id="rId12"/>
    <sheet name="2013 Draft" sheetId="13" r:id="rId13"/>
    <sheet name="2014 Draft" sheetId="12" r:id="rId14"/>
    <sheet name="2015 Draft" sheetId="11" r:id="rId15"/>
    <sheet name="2016 Draft" sheetId="10" r:id="rId16"/>
    <sheet name="2017 Draft" sheetId="9" r:id="rId17"/>
    <sheet name="2018 Draft" sheetId="8" r:id="rId18"/>
    <sheet name="2019 Draft" sheetId="7" r:id="rId19"/>
    <sheet name="2020 Draft" sheetId="6" r:id="rId20"/>
    <sheet name="2021 Draft" sheetId="5" r:id="rId21"/>
    <sheet name="2022 Draft" sheetId="4" r:id="rId22"/>
    <sheet name="2023 Draft" sheetId="3" r:id="rId23"/>
    <sheet name="2024 Draft" sheetId="1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V3" i="1" l="1"/>
  <c r="V5" i="1"/>
  <c r="V7" i="1"/>
  <c r="V8" i="1"/>
  <c r="V9" i="1"/>
  <c r="V10" i="1"/>
  <c r="V15" i="1"/>
  <c r="V20" i="1"/>
  <c r="V21" i="1"/>
  <c r="V32" i="1"/>
  <c r="V2" i="1"/>
  <c r="V3" i="3"/>
  <c r="V5" i="3"/>
  <c r="V7" i="3"/>
  <c r="V8" i="3"/>
  <c r="V10" i="3"/>
  <c r="V12" i="3"/>
  <c r="V14" i="3"/>
  <c r="V15" i="3"/>
  <c r="V17" i="3"/>
  <c r="V25" i="3"/>
  <c r="V29" i="3"/>
  <c r="V38" i="3"/>
  <c r="V2" i="3"/>
  <c r="V4" i="4"/>
  <c r="V8" i="4"/>
  <c r="V9" i="4"/>
  <c r="V13" i="4"/>
  <c r="V14" i="4"/>
  <c r="V17" i="4"/>
  <c r="V18" i="4"/>
  <c r="V20" i="4"/>
  <c r="V22" i="4"/>
  <c r="V26" i="4"/>
  <c r="V27" i="4"/>
  <c r="V29" i="4"/>
  <c r="V33" i="4"/>
  <c r="V34" i="4"/>
  <c r="V36" i="4"/>
  <c r="V37" i="4"/>
  <c r="V39" i="4"/>
  <c r="V40" i="4"/>
  <c r="V2" i="4"/>
  <c r="V3" i="6"/>
  <c r="V4" i="6"/>
  <c r="V6" i="6"/>
  <c r="V7" i="6"/>
  <c r="V8" i="6"/>
  <c r="V9" i="6"/>
  <c r="V10" i="6"/>
  <c r="V11" i="6"/>
  <c r="V12" i="6"/>
  <c r="V14" i="6"/>
  <c r="V15" i="6"/>
  <c r="V16" i="6"/>
  <c r="V18" i="6"/>
  <c r="V19" i="6"/>
  <c r="V20" i="6"/>
  <c r="V21" i="6"/>
  <c r="V22" i="6"/>
  <c r="V23" i="6"/>
  <c r="V26" i="6"/>
  <c r="V27" i="6"/>
  <c r="V29" i="6"/>
  <c r="V30" i="6"/>
  <c r="V31" i="6"/>
  <c r="V32" i="6"/>
  <c r="V33" i="6"/>
  <c r="V34" i="6"/>
  <c r="V36" i="6"/>
  <c r="V38" i="6"/>
  <c r="V2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2" i="6"/>
  <c r="V34" i="5"/>
  <c r="V33" i="5"/>
  <c r="V32" i="5"/>
  <c r="V29" i="5"/>
  <c r="V28" i="5"/>
  <c r="V27" i="5"/>
  <c r="V26" i="5"/>
  <c r="V24" i="5"/>
  <c r="V23" i="5"/>
  <c r="V22" i="5"/>
  <c r="V21" i="5"/>
  <c r="V20" i="5"/>
  <c r="V19" i="5"/>
  <c r="V18" i="5"/>
  <c r="V16" i="5"/>
  <c r="V14" i="5"/>
  <c r="V13" i="5"/>
  <c r="V12" i="5"/>
  <c r="V11" i="5"/>
  <c r="V10" i="5"/>
  <c r="V7" i="5"/>
  <c r="V6" i="5"/>
  <c r="V5" i="5"/>
  <c r="V4" i="5"/>
  <c r="V3" i="5"/>
  <c r="V2" i="5"/>
  <c r="V3" i="7"/>
  <c r="V4" i="7"/>
  <c r="V5" i="7"/>
  <c r="V6" i="7"/>
  <c r="V7" i="7"/>
  <c r="V8" i="7"/>
  <c r="V9" i="7"/>
  <c r="V10" i="7"/>
  <c r="V12" i="7"/>
  <c r="V13" i="7"/>
  <c r="V15" i="7"/>
  <c r="V16" i="7"/>
  <c r="V17" i="7"/>
  <c r="V18" i="7"/>
  <c r="V19" i="7"/>
  <c r="V20" i="7"/>
  <c r="V21" i="7"/>
  <c r="V22" i="7"/>
  <c r="V23" i="7"/>
  <c r="V24" i="7"/>
  <c r="V27" i="7"/>
  <c r="V29" i="7"/>
  <c r="V30" i="7"/>
  <c r="V31" i="7"/>
  <c r="V32" i="7"/>
  <c r="V33" i="7"/>
  <c r="V35" i="7"/>
  <c r="V36" i="7"/>
  <c r="V40" i="7"/>
  <c r="V41" i="7"/>
  <c r="V42" i="7"/>
  <c r="V2" i="7"/>
  <c r="V3" i="8"/>
  <c r="V4" i="8"/>
  <c r="V5" i="8"/>
  <c r="V6" i="8"/>
  <c r="V7" i="8"/>
  <c r="V8" i="8"/>
  <c r="V11" i="8"/>
  <c r="V12" i="8"/>
  <c r="V13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9" i="8"/>
  <c r="V30" i="8"/>
  <c r="V31" i="8"/>
  <c r="V32" i="8"/>
  <c r="V34" i="8"/>
  <c r="V35" i="8"/>
  <c r="V37" i="8"/>
  <c r="V39" i="8"/>
  <c r="V40" i="8"/>
  <c r="V41" i="8"/>
  <c r="V2" i="8"/>
  <c r="V3" i="9"/>
  <c r="V4" i="9"/>
  <c r="V5" i="9"/>
  <c r="V6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5" i="9"/>
  <c r="V26" i="9"/>
  <c r="V27" i="9"/>
  <c r="V28" i="9"/>
  <c r="V29" i="9"/>
  <c r="V31" i="9"/>
  <c r="V32" i="9"/>
  <c r="V33" i="9"/>
  <c r="V36" i="9"/>
  <c r="V37" i="9"/>
  <c r="V2" i="9"/>
  <c r="V3" i="10"/>
  <c r="V4" i="10"/>
  <c r="V5" i="10"/>
  <c r="V6" i="10"/>
  <c r="V7" i="10"/>
  <c r="V8" i="10"/>
  <c r="V9" i="10"/>
  <c r="V10" i="10"/>
  <c r="V11" i="10"/>
  <c r="V12" i="10"/>
  <c r="V14" i="10"/>
  <c r="V15" i="10"/>
  <c r="V16" i="10"/>
  <c r="V17" i="10"/>
  <c r="V18" i="10"/>
  <c r="V19" i="10"/>
  <c r="V20" i="10"/>
  <c r="V21" i="10"/>
  <c r="V22" i="10"/>
  <c r="V23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41" i="10"/>
  <c r="V42" i="10"/>
  <c r="V2" i="10"/>
  <c r="V3" i="11"/>
  <c r="V4" i="11"/>
  <c r="V5" i="11"/>
  <c r="V6" i="11"/>
  <c r="V7" i="11"/>
  <c r="V8" i="11"/>
  <c r="V9" i="11"/>
  <c r="V10" i="11"/>
  <c r="V12" i="11"/>
  <c r="V13" i="11"/>
  <c r="V15" i="11"/>
  <c r="V16" i="11"/>
  <c r="V17" i="11"/>
  <c r="V19" i="11"/>
  <c r="V20" i="11"/>
  <c r="V21" i="11"/>
  <c r="V23" i="11"/>
  <c r="V24" i="11"/>
  <c r="V25" i="11"/>
  <c r="V26" i="11"/>
  <c r="V27" i="11"/>
  <c r="V29" i="11"/>
  <c r="V32" i="11"/>
  <c r="V33" i="11"/>
  <c r="V35" i="11"/>
  <c r="V36" i="11"/>
  <c r="V37" i="11"/>
  <c r="V38" i="11"/>
  <c r="V39" i="11"/>
  <c r="V40" i="11"/>
  <c r="V42" i="11"/>
  <c r="V43" i="11"/>
  <c r="V2" i="11"/>
  <c r="V4" i="12"/>
  <c r="V5" i="12"/>
  <c r="V6" i="12"/>
  <c r="V7" i="12"/>
  <c r="V8" i="12"/>
  <c r="V9" i="12"/>
  <c r="V10" i="12"/>
  <c r="V11" i="12"/>
  <c r="V14" i="12"/>
  <c r="V15" i="12"/>
  <c r="V16" i="12"/>
  <c r="V17" i="12"/>
  <c r="V18" i="12"/>
  <c r="V19" i="12"/>
  <c r="V22" i="12"/>
  <c r="V23" i="12"/>
  <c r="V24" i="12"/>
  <c r="V25" i="12"/>
  <c r="V26" i="12"/>
  <c r="V27" i="12"/>
  <c r="V28" i="12"/>
  <c r="V29" i="12"/>
  <c r="V30" i="12"/>
  <c r="V31" i="12"/>
  <c r="V32" i="12"/>
  <c r="V34" i="12"/>
  <c r="V35" i="12"/>
  <c r="V36" i="12"/>
  <c r="V38" i="12"/>
  <c r="V40" i="12"/>
  <c r="V3" i="13"/>
  <c r="V4" i="13"/>
  <c r="V5" i="13"/>
  <c r="V6" i="13"/>
  <c r="V7" i="13"/>
  <c r="V9" i="13"/>
  <c r="V10" i="13"/>
  <c r="V11" i="13"/>
  <c r="V12" i="13"/>
  <c r="V14" i="13"/>
  <c r="V15" i="13"/>
  <c r="V16" i="13"/>
  <c r="V17" i="13"/>
  <c r="V18" i="13"/>
  <c r="V20" i="13"/>
  <c r="V22" i="13"/>
  <c r="V23" i="13"/>
  <c r="V24" i="13"/>
  <c r="V25" i="13"/>
  <c r="V26" i="13"/>
  <c r="V28" i="13"/>
  <c r="V29" i="13"/>
  <c r="V30" i="13"/>
  <c r="V31" i="13"/>
  <c r="V32" i="13"/>
  <c r="V33" i="13"/>
  <c r="V35" i="13"/>
  <c r="V36" i="13"/>
  <c r="V37" i="13"/>
  <c r="V39" i="13"/>
  <c r="V40" i="13"/>
  <c r="V2" i="13"/>
  <c r="V3" i="14"/>
  <c r="V4" i="14"/>
  <c r="V5" i="14"/>
  <c r="V6" i="14"/>
  <c r="V7" i="14"/>
  <c r="V8" i="14"/>
  <c r="V9" i="14"/>
  <c r="V10" i="14"/>
  <c r="V11" i="14"/>
  <c r="V12" i="14"/>
  <c r="V13" i="14"/>
  <c r="V16" i="14"/>
  <c r="V17" i="14"/>
  <c r="V19" i="14"/>
  <c r="V20" i="14"/>
  <c r="V21" i="14"/>
  <c r="V22" i="14"/>
  <c r="V23" i="14"/>
  <c r="V25" i="14"/>
  <c r="V26" i="14"/>
  <c r="V30" i="14"/>
  <c r="V32" i="14"/>
  <c r="V33" i="14"/>
  <c r="V34" i="14"/>
  <c r="V35" i="14"/>
  <c r="V36" i="14"/>
  <c r="V37" i="14"/>
  <c r="V38" i="14"/>
  <c r="V39" i="14"/>
  <c r="V40" i="14"/>
  <c r="V42" i="14"/>
  <c r="V43" i="14"/>
  <c r="V44" i="14"/>
  <c r="V45" i="14"/>
  <c r="V47" i="14"/>
  <c r="V48" i="14"/>
  <c r="V50" i="14"/>
  <c r="V2" i="14"/>
  <c r="V3" i="15"/>
  <c r="V4" i="15"/>
  <c r="V5" i="15"/>
  <c r="V6" i="15"/>
  <c r="V7" i="15"/>
  <c r="V8" i="15"/>
  <c r="V9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2" i="15"/>
  <c r="V33" i="15"/>
  <c r="V35" i="15"/>
  <c r="V37" i="15"/>
  <c r="V41" i="15"/>
  <c r="V42" i="15"/>
  <c r="V44" i="15"/>
  <c r="V45" i="15"/>
  <c r="V46" i="15"/>
  <c r="V47" i="15"/>
  <c r="V49" i="15"/>
  <c r="V50" i="15"/>
  <c r="V2" i="15"/>
  <c r="V3" i="16"/>
  <c r="V4" i="16"/>
  <c r="V5" i="16"/>
  <c r="V6" i="16"/>
  <c r="V8" i="16"/>
  <c r="V9" i="16"/>
  <c r="V11" i="16"/>
  <c r="V12" i="16"/>
  <c r="V13" i="16"/>
  <c r="V14" i="16"/>
  <c r="V15" i="16"/>
  <c r="V19" i="16"/>
  <c r="V20" i="16"/>
  <c r="V22" i="16"/>
  <c r="V24" i="16"/>
  <c r="V25" i="16"/>
  <c r="V27" i="16"/>
  <c r="V28" i="16"/>
  <c r="V29" i="16"/>
  <c r="V30" i="16"/>
  <c r="V35" i="16"/>
  <c r="V37" i="16"/>
  <c r="V39" i="16"/>
  <c r="V40" i="16"/>
  <c r="V42" i="16"/>
  <c r="V44" i="16"/>
  <c r="V45" i="16"/>
  <c r="V46" i="16"/>
  <c r="V49" i="16"/>
  <c r="V50" i="16"/>
  <c r="V51" i="16"/>
  <c r="V2" i="16"/>
  <c r="V3" i="17"/>
  <c r="V5" i="17"/>
  <c r="V7" i="17"/>
  <c r="V8" i="17"/>
  <c r="V9" i="17"/>
  <c r="V10" i="17"/>
  <c r="V11" i="17"/>
  <c r="V12" i="17"/>
  <c r="V13" i="17"/>
  <c r="V14" i="17"/>
  <c r="V15" i="17"/>
  <c r="V16" i="17"/>
  <c r="V18" i="17"/>
  <c r="V20" i="17"/>
  <c r="V21" i="17"/>
  <c r="V23" i="17"/>
  <c r="V25" i="17"/>
  <c r="V26" i="17"/>
  <c r="V28" i="17"/>
  <c r="V29" i="17"/>
  <c r="V30" i="17"/>
  <c r="V32" i="17"/>
  <c r="V34" i="17"/>
  <c r="V35" i="17"/>
  <c r="V36" i="17"/>
  <c r="V38" i="17"/>
  <c r="V39" i="17"/>
  <c r="V41" i="17"/>
  <c r="V42" i="17"/>
  <c r="V43" i="17"/>
  <c r="V44" i="17"/>
  <c r="V45" i="17"/>
  <c r="V46" i="17"/>
  <c r="V50" i="17"/>
  <c r="V2" i="17"/>
  <c r="V3" i="18"/>
  <c r="V4" i="18"/>
  <c r="V5" i="18"/>
  <c r="V6" i="18"/>
  <c r="V7" i="18"/>
  <c r="V8" i="18"/>
  <c r="V9" i="18"/>
  <c r="V10" i="18"/>
  <c r="V11" i="18"/>
  <c r="V12" i="18"/>
  <c r="V13" i="18"/>
  <c r="V14" i="18"/>
  <c r="V15" i="18"/>
  <c r="V16" i="18"/>
  <c r="V17" i="18"/>
  <c r="V18" i="18"/>
  <c r="V19" i="18"/>
  <c r="V20" i="18"/>
  <c r="V21" i="18"/>
  <c r="V22" i="18"/>
  <c r="V24" i="18"/>
  <c r="V26" i="18"/>
  <c r="V27" i="18"/>
  <c r="V29" i="18"/>
  <c r="V30" i="18"/>
  <c r="V31" i="18"/>
  <c r="V33" i="18"/>
  <c r="V37" i="18"/>
  <c r="V38" i="18"/>
  <c r="V39" i="18"/>
  <c r="V40" i="18"/>
  <c r="V42" i="18"/>
  <c r="V43" i="18"/>
  <c r="V44" i="18"/>
  <c r="V45" i="18"/>
  <c r="V46" i="18"/>
  <c r="V47" i="18"/>
  <c r="V2" i="18"/>
  <c r="V3" i="19"/>
  <c r="V4" i="19"/>
  <c r="V5" i="19"/>
  <c r="V6" i="19"/>
  <c r="V7" i="19"/>
  <c r="V8" i="19"/>
  <c r="V10" i="19"/>
  <c r="V11" i="19"/>
  <c r="V12" i="19"/>
  <c r="V13" i="19"/>
  <c r="V15" i="19"/>
  <c r="V16" i="19"/>
  <c r="V18" i="19"/>
  <c r="V19" i="19"/>
  <c r="V20" i="19"/>
  <c r="V21" i="19"/>
  <c r="V22" i="19"/>
  <c r="V26" i="19"/>
  <c r="V28" i="19"/>
  <c r="V29" i="19"/>
  <c r="V31" i="19"/>
  <c r="V32" i="19"/>
  <c r="V33" i="19"/>
  <c r="V35" i="19"/>
  <c r="V36" i="19"/>
  <c r="V37" i="19"/>
  <c r="V38" i="19"/>
  <c r="V39" i="19"/>
  <c r="V42" i="19"/>
  <c r="V43" i="19"/>
  <c r="V44" i="19"/>
  <c r="V45" i="19"/>
  <c r="V49" i="19"/>
  <c r="V52" i="19"/>
  <c r="V53" i="19"/>
  <c r="V54" i="19"/>
  <c r="V55" i="19"/>
  <c r="V56" i="19"/>
  <c r="V57" i="19"/>
  <c r="V58" i="19"/>
  <c r="V59" i="19"/>
  <c r="V60" i="19"/>
  <c r="V61" i="19"/>
  <c r="V62" i="19"/>
  <c r="V63" i="19"/>
  <c r="V64" i="19"/>
  <c r="V65" i="19"/>
  <c r="V2" i="19"/>
  <c r="V3" i="20"/>
  <c r="V4" i="20"/>
  <c r="V5" i="20"/>
  <c r="V6" i="20"/>
  <c r="V7" i="20"/>
  <c r="V8" i="20"/>
  <c r="V9" i="20"/>
  <c r="V11" i="20"/>
  <c r="V12" i="20"/>
  <c r="V14" i="20"/>
  <c r="V15" i="20"/>
  <c r="V16" i="20"/>
  <c r="V17" i="20"/>
  <c r="V18" i="20"/>
  <c r="V19" i="20"/>
  <c r="V20" i="20"/>
  <c r="V21" i="20"/>
  <c r="V22" i="20"/>
  <c r="V26" i="20"/>
  <c r="V27" i="20"/>
  <c r="V29" i="20"/>
  <c r="V31" i="20"/>
  <c r="V33" i="20"/>
  <c r="V34" i="20"/>
  <c r="V35" i="20"/>
  <c r="V37" i="20"/>
  <c r="V38" i="20"/>
  <c r="V39" i="20"/>
  <c r="V40" i="20"/>
  <c r="V41" i="20"/>
  <c r="V42" i="20"/>
  <c r="V43" i="20"/>
  <c r="V2" i="20"/>
  <c r="V3" i="21"/>
  <c r="V4" i="21"/>
  <c r="V5" i="21"/>
  <c r="V6" i="21"/>
  <c r="V7" i="21"/>
  <c r="V8" i="21"/>
  <c r="V10" i="21"/>
  <c r="V11" i="21"/>
  <c r="V12" i="21"/>
  <c r="V13" i="21"/>
  <c r="V14" i="21"/>
  <c r="V15" i="21"/>
  <c r="V16" i="21"/>
  <c r="V17" i="21"/>
  <c r="V19" i="21"/>
  <c r="V20" i="21"/>
  <c r="V22" i="21"/>
  <c r="V23" i="21"/>
  <c r="V24" i="21"/>
  <c r="V25" i="21"/>
  <c r="V26" i="21"/>
  <c r="V27" i="21"/>
  <c r="V28" i="21"/>
  <c r="V29" i="21"/>
  <c r="V31" i="21"/>
  <c r="V33" i="21"/>
  <c r="V35" i="21"/>
  <c r="V36" i="21"/>
  <c r="V37" i="21"/>
  <c r="V38" i="21"/>
  <c r="V41" i="21"/>
  <c r="V43" i="21"/>
  <c r="V45" i="21"/>
  <c r="V46" i="21"/>
  <c r="V48" i="21"/>
  <c r="V49" i="21"/>
  <c r="V2" i="21"/>
  <c r="V3" i="22"/>
  <c r="V4" i="22"/>
  <c r="V5" i="22"/>
  <c r="V6" i="22"/>
  <c r="V7" i="22"/>
  <c r="V8" i="22"/>
  <c r="V10" i="22"/>
  <c r="V11" i="22"/>
  <c r="V12" i="22"/>
  <c r="V13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8" i="22"/>
  <c r="V29" i="22"/>
  <c r="V31" i="22"/>
  <c r="V32" i="22"/>
  <c r="V33" i="22"/>
  <c r="V36" i="22"/>
  <c r="V37" i="22"/>
  <c r="V39" i="22"/>
  <c r="V41" i="22"/>
  <c r="V42" i="22"/>
  <c r="V2" i="22"/>
  <c r="V3" i="23"/>
  <c r="V5" i="23"/>
  <c r="V8" i="23"/>
  <c r="V9" i="23"/>
  <c r="V10" i="23"/>
  <c r="V11" i="23"/>
  <c r="V12" i="23"/>
  <c r="V13" i="23"/>
  <c r="V14" i="23"/>
  <c r="V15" i="23"/>
  <c r="V16" i="23"/>
  <c r="V18" i="23"/>
  <c r="V19" i="23"/>
  <c r="V20" i="23"/>
  <c r="V21" i="23"/>
  <c r="V23" i="23"/>
  <c r="V24" i="23"/>
  <c r="V25" i="23"/>
  <c r="V29" i="23"/>
  <c r="V30" i="23"/>
  <c r="V31" i="23"/>
  <c r="V33" i="23"/>
  <c r="V34" i="23"/>
  <c r="V36" i="23"/>
  <c r="V37" i="23"/>
  <c r="V38" i="23"/>
  <c r="V2" i="23"/>
  <c r="V3" i="24"/>
  <c r="V5" i="24"/>
  <c r="V7" i="24"/>
  <c r="V8" i="24"/>
  <c r="V9" i="24"/>
  <c r="V10" i="24"/>
  <c r="V11" i="24"/>
  <c r="V12" i="24"/>
  <c r="V13" i="24"/>
  <c r="V14" i="24"/>
  <c r="V15" i="24"/>
  <c r="V16" i="24"/>
  <c r="V17" i="24"/>
  <c r="V18" i="24"/>
  <c r="V19" i="24"/>
  <c r="V20" i="24"/>
  <c r="V21" i="24"/>
  <c r="V23" i="24"/>
  <c r="V24" i="24"/>
  <c r="V25" i="24"/>
  <c r="V26" i="24"/>
  <c r="V28" i="24"/>
  <c r="V29" i="24"/>
  <c r="V35" i="24"/>
  <c r="V36" i="24"/>
  <c r="V40" i="24"/>
  <c r="V2" i="24"/>
  <c r="V20" i="25"/>
  <c r="V21" i="25"/>
  <c r="V22" i="25"/>
  <c r="V23" i="25"/>
  <c r="V24" i="25"/>
  <c r="V25" i="25"/>
  <c r="V26" i="25"/>
  <c r="V27" i="25"/>
  <c r="V31" i="25"/>
  <c r="V34" i="25"/>
  <c r="V35" i="25"/>
  <c r="V36" i="25"/>
  <c r="V38" i="25"/>
  <c r="V39" i="25"/>
  <c r="V42" i="25"/>
  <c r="V45" i="25"/>
  <c r="V5" i="25"/>
  <c r="V6" i="25"/>
  <c r="V9" i="25"/>
  <c r="V11" i="25"/>
  <c r="V14" i="25"/>
  <c r="V16" i="25"/>
  <c r="V19" i="25"/>
  <c r="V3" i="25"/>
  <c r="V4" i="25"/>
  <c r="V2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U33" i="25"/>
  <c r="U34" i="25"/>
  <c r="U35" i="25"/>
  <c r="U36" i="25"/>
  <c r="U37" i="25"/>
  <c r="U38" i="25"/>
  <c r="U39" i="25"/>
  <c r="U40" i="25"/>
  <c r="U41" i="25"/>
  <c r="U42" i="25"/>
  <c r="U43" i="25"/>
  <c r="U44" i="25"/>
  <c r="U45" i="25"/>
  <c r="U2" i="25"/>
  <c r="U3" i="24"/>
  <c r="U4" i="24"/>
  <c r="U5" i="24"/>
  <c r="U6" i="24"/>
  <c r="U7" i="24"/>
  <c r="U8" i="24"/>
  <c r="U9" i="24"/>
  <c r="U10" i="24"/>
  <c r="U11" i="24"/>
  <c r="U12" i="24"/>
  <c r="U13" i="24"/>
  <c r="U14" i="24"/>
  <c r="U15" i="24"/>
  <c r="U16" i="24"/>
  <c r="U17" i="24"/>
  <c r="U18" i="24"/>
  <c r="U19" i="24"/>
  <c r="U20" i="24"/>
  <c r="U21" i="24"/>
  <c r="U22" i="24"/>
  <c r="U23" i="24"/>
  <c r="U24" i="24"/>
  <c r="U25" i="24"/>
  <c r="U26" i="24"/>
  <c r="U27" i="24"/>
  <c r="U28" i="24"/>
  <c r="U29" i="24"/>
  <c r="U30" i="24"/>
  <c r="U31" i="24"/>
  <c r="U32" i="24"/>
  <c r="U33" i="24"/>
  <c r="U34" i="24"/>
  <c r="U35" i="24"/>
  <c r="U36" i="24"/>
  <c r="U37" i="24"/>
  <c r="U38" i="24"/>
  <c r="U39" i="24"/>
  <c r="U40" i="24"/>
  <c r="U41" i="24"/>
  <c r="U42" i="24"/>
  <c r="U2" i="24"/>
  <c r="U3" i="23"/>
  <c r="U4" i="23"/>
  <c r="U5" i="23"/>
  <c r="U6" i="23"/>
  <c r="U7" i="23"/>
  <c r="U8" i="23"/>
  <c r="U9" i="23"/>
  <c r="U10" i="23"/>
  <c r="U11" i="23"/>
  <c r="U12" i="23"/>
  <c r="U13" i="23"/>
  <c r="U14" i="23"/>
  <c r="U15" i="23"/>
  <c r="U16" i="23"/>
  <c r="U17" i="23"/>
  <c r="U18" i="23"/>
  <c r="U19" i="23"/>
  <c r="U20" i="23"/>
  <c r="U21" i="23"/>
  <c r="U22" i="23"/>
  <c r="U23" i="23"/>
  <c r="U24" i="23"/>
  <c r="U25" i="23"/>
  <c r="U26" i="23"/>
  <c r="U27" i="23"/>
  <c r="U28" i="23"/>
  <c r="U29" i="23"/>
  <c r="U30" i="23"/>
  <c r="U31" i="23"/>
  <c r="U32" i="23"/>
  <c r="U33" i="23"/>
  <c r="U34" i="23"/>
  <c r="U35" i="23"/>
  <c r="U36" i="23"/>
  <c r="U37" i="23"/>
  <c r="U38" i="23"/>
  <c r="U2" i="23"/>
  <c r="U3" i="22"/>
  <c r="U4" i="22"/>
  <c r="U5" i="22"/>
  <c r="U6" i="22"/>
  <c r="U7" i="22"/>
  <c r="U8" i="22"/>
  <c r="U9" i="22"/>
  <c r="U10" i="22"/>
  <c r="U11" i="22"/>
  <c r="U12" i="22"/>
  <c r="U13" i="22"/>
  <c r="U14" i="22"/>
  <c r="U15" i="22"/>
  <c r="U16" i="22"/>
  <c r="U17" i="22"/>
  <c r="U18" i="22"/>
  <c r="U19" i="22"/>
  <c r="U20" i="22"/>
  <c r="U21" i="22"/>
  <c r="U22" i="22"/>
  <c r="U23" i="22"/>
  <c r="U24" i="22"/>
  <c r="U25" i="22"/>
  <c r="U26" i="22"/>
  <c r="U27" i="22"/>
  <c r="U28" i="22"/>
  <c r="U29" i="22"/>
  <c r="U30" i="22"/>
  <c r="U31" i="22"/>
  <c r="U32" i="22"/>
  <c r="U33" i="22"/>
  <c r="U34" i="22"/>
  <c r="U35" i="22"/>
  <c r="U36" i="22"/>
  <c r="U37" i="22"/>
  <c r="U38" i="22"/>
  <c r="U39" i="22"/>
  <c r="U40" i="22"/>
  <c r="U41" i="22"/>
  <c r="U42" i="22"/>
  <c r="U2" i="22"/>
  <c r="U3" i="21"/>
  <c r="U4" i="21"/>
  <c r="U5" i="21"/>
  <c r="U6" i="21"/>
  <c r="U7" i="21"/>
  <c r="U8" i="21"/>
  <c r="U9" i="21"/>
  <c r="U10" i="21"/>
  <c r="U11" i="21"/>
  <c r="U12" i="21"/>
  <c r="U13" i="21"/>
  <c r="U14" i="21"/>
  <c r="U15" i="21"/>
  <c r="U16" i="21"/>
  <c r="U17" i="21"/>
  <c r="U18" i="21"/>
  <c r="U19" i="21"/>
  <c r="U20" i="21"/>
  <c r="U21" i="21"/>
  <c r="U22" i="21"/>
  <c r="U23" i="21"/>
  <c r="U24" i="21"/>
  <c r="U25" i="21"/>
  <c r="U26" i="21"/>
  <c r="U27" i="21"/>
  <c r="U28" i="21"/>
  <c r="U29" i="21"/>
  <c r="U30" i="21"/>
  <c r="U31" i="21"/>
  <c r="U32" i="21"/>
  <c r="U33" i="21"/>
  <c r="U34" i="21"/>
  <c r="U35" i="21"/>
  <c r="U36" i="21"/>
  <c r="U37" i="21"/>
  <c r="U38" i="21"/>
  <c r="U39" i="21"/>
  <c r="U40" i="21"/>
  <c r="U41" i="21"/>
  <c r="U42" i="21"/>
  <c r="U43" i="21"/>
  <c r="U44" i="21"/>
  <c r="U45" i="21"/>
  <c r="U46" i="21"/>
  <c r="U47" i="21"/>
  <c r="U48" i="21"/>
  <c r="U49" i="21"/>
  <c r="U2" i="21"/>
  <c r="U3" i="20"/>
  <c r="U4" i="20"/>
  <c r="U5" i="20"/>
  <c r="U6" i="20"/>
  <c r="U7" i="20"/>
  <c r="U8" i="20"/>
  <c r="U9" i="20"/>
  <c r="U10" i="20"/>
  <c r="U11" i="20"/>
  <c r="U12" i="20"/>
  <c r="U13" i="20"/>
  <c r="U14" i="20"/>
  <c r="U15" i="20"/>
  <c r="U16" i="20"/>
  <c r="U17" i="20"/>
  <c r="U18" i="20"/>
  <c r="U19" i="20"/>
  <c r="U20" i="20"/>
  <c r="U21" i="20"/>
  <c r="U22" i="20"/>
  <c r="U23" i="20"/>
  <c r="U24" i="20"/>
  <c r="U25" i="20"/>
  <c r="U26" i="20"/>
  <c r="U27" i="20"/>
  <c r="U28" i="20"/>
  <c r="U29" i="20"/>
  <c r="U30" i="20"/>
  <c r="U31" i="20"/>
  <c r="U32" i="20"/>
  <c r="U33" i="20"/>
  <c r="U34" i="20"/>
  <c r="U35" i="20"/>
  <c r="U36" i="20"/>
  <c r="U37" i="20"/>
  <c r="U38" i="20"/>
  <c r="U39" i="20"/>
  <c r="U40" i="20"/>
  <c r="U41" i="20"/>
  <c r="U42" i="20"/>
  <c r="U43" i="20"/>
  <c r="U44" i="20"/>
  <c r="U45" i="20"/>
  <c r="U2" i="20"/>
  <c r="U3" i="19"/>
  <c r="U4" i="19"/>
  <c r="U5" i="19"/>
  <c r="U6" i="19"/>
  <c r="U7" i="19"/>
  <c r="U8" i="19"/>
  <c r="U9" i="19"/>
  <c r="U10" i="19"/>
  <c r="U11" i="19"/>
  <c r="U12" i="19"/>
  <c r="U13" i="19"/>
  <c r="U14" i="19"/>
  <c r="U15" i="19"/>
  <c r="U16" i="19"/>
  <c r="U17" i="19"/>
  <c r="U18" i="19"/>
  <c r="U19" i="19"/>
  <c r="U20" i="19"/>
  <c r="U21" i="19"/>
  <c r="U22" i="19"/>
  <c r="U23" i="19"/>
  <c r="U24" i="19"/>
  <c r="U25" i="19"/>
  <c r="U26" i="19"/>
  <c r="U27" i="19"/>
  <c r="U28" i="19"/>
  <c r="U29" i="19"/>
  <c r="U30" i="19"/>
  <c r="U31" i="19"/>
  <c r="U32" i="19"/>
  <c r="U33" i="19"/>
  <c r="U34" i="19"/>
  <c r="U35" i="19"/>
  <c r="U36" i="19"/>
  <c r="U37" i="19"/>
  <c r="U38" i="19"/>
  <c r="U39" i="19"/>
  <c r="U40" i="19"/>
  <c r="U41" i="19"/>
  <c r="U42" i="19"/>
  <c r="U43" i="19"/>
  <c r="U44" i="19"/>
  <c r="U45" i="19"/>
  <c r="U46" i="19"/>
  <c r="U47" i="19"/>
  <c r="U48" i="19"/>
  <c r="U49" i="19"/>
  <c r="U50" i="19"/>
  <c r="U51" i="19"/>
  <c r="U2" i="19"/>
  <c r="U3" i="18"/>
  <c r="U4" i="18"/>
  <c r="U5" i="18"/>
  <c r="U6" i="18"/>
  <c r="U7" i="18"/>
  <c r="U8" i="18"/>
  <c r="U9" i="18"/>
  <c r="U10" i="18"/>
  <c r="U11" i="18"/>
  <c r="U12" i="18"/>
  <c r="U13" i="18"/>
  <c r="U14" i="18"/>
  <c r="U15" i="18"/>
  <c r="U16" i="18"/>
  <c r="U17" i="18"/>
  <c r="U18" i="18"/>
  <c r="U19" i="18"/>
  <c r="U20" i="18"/>
  <c r="U21" i="18"/>
  <c r="U22" i="18"/>
  <c r="U23" i="18"/>
  <c r="U24" i="18"/>
  <c r="U25" i="18"/>
  <c r="U26" i="18"/>
  <c r="U27" i="18"/>
  <c r="U28" i="18"/>
  <c r="U29" i="18"/>
  <c r="U30" i="18"/>
  <c r="U31" i="18"/>
  <c r="U32" i="18"/>
  <c r="U33" i="18"/>
  <c r="U34" i="18"/>
  <c r="U35" i="18"/>
  <c r="U36" i="18"/>
  <c r="U37" i="18"/>
  <c r="U38" i="18"/>
  <c r="U39" i="18"/>
  <c r="U40" i="18"/>
  <c r="U41" i="18"/>
  <c r="U42" i="18"/>
  <c r="U43" i="18"/>
  <c r="U44" i="18"/>
  <c r="U45" i="18"/>
  <c r="U46" i="18"/>
  <c r="U47" i="18"/>
  <c r="U2" i="18"/>
  <c r="U3" i="17"/>
  <c r="U4" i="17"/>
  <c r="U5" i="17"/>
  <c r="U6" i="17"/>
  <c r="U7" i="17"/>
  <c r="U8" i="17"/>
  <c r="U9" i="17"/>
  <c r="U10" i="17"/>
  <c r="U11" i="17"/>
  <c r="U12" i="17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49" i="17"/>
  <c r="U50" i="17"/>
  <c r="U2" i="17"/>
  <c r="U3" i="16"/>
  <c r="U4" i="16"/>
  <c r="U5" i="16"/>
  <c r="U6" i="16"/>
  <c r="U7" i="16"/>
  <c r="U8" i="16"/>
  <c r="U9" i="16"/>
  <c r="U10" i="16"/>
  <c r="U11" i="16"/>
  <c r="U12" i="16"/>
  <c r="U13" i="16"/>
  <c r="U14" i="16"/>
  <c r="U15" i="16"/>
  <c r="U16" i="16"/>
  <c r="U17" i="16"/>
  <c r="U18" i="16"/>
  <c r="U19" i="16"/>
  <c r="U20" i="16"/>
  <c r="U21" i="16"/>
  <c r="U22" i="16"/>
  <c r="U23" i="16"/>
  <c r="U24" i="16"/>
  <c r="U25" i="16"/>
  <c r="U26" i="16"/>
  <c r="U27" i="16"/>
  <c r="U28" i="16"/>
  <c r="U29" i="16"/>
  <c r="U30" i="16"/>
  <c r="U31" i="16"/>
  <c r="U32" i="16"/>
  <c r="U33" i="16"/>
  <c r="U34" i="16"/>
  <c r="U35" i="16"/>
  <c r="U36" i="16"/>
  <c r="U37" i="16"/>
  <c r="U38" i="16"/>
  <c r="U39" i="16"/>
  <c r="U40" i="16"/>
  <c r="U41" i="16"/>
  <c r="U42" i="16"/>
  <c r="U43" i="16"/>
  <c r="U44" i="16"/>
  <c r="U45" i="16"/>
  <c r="U46" i="16"/>
  <c r="U47" i="16"/>
  <c r="U48" i="16"/>
  <c r="U49" i="16"/>
  <c r="U50" i="16"/>
  <c r="U51" i="16"/>
  <c r="U2" i="16"/>
  <c r="U3" i="15"/>
  <c r="U4" i="15"/>
  <c r="U5" i="15"/>
  <c r="U6" i="15"/>
  <c r="U7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50" i="15"/>
  <c r="U51" i="15"/>
  <c r="U2" i="15"/>
  <c r="U3" i="14"/>
  <c r="U4" i="14"/>
  <c r="U5" i="14"/>
  <c r="U6" i="14"/>
  <c r="U7" i="14"/>
  <c r="U8" i="14"/>
  <c r="U9" i="14"/>
  <c r="U10" i="14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25" i="14"/>
  <c r="U26" i="14"/>
  <c r="U27" i="14"/>
  <c r="U28" i="14"/>
  <c r="U29" i="14"/>
  <c r="U30" i="14"/>
  <c r="U31" i="14"/>
  <c r="U32" i="14"/>
  <c r="U33" i="14"/>
  <c r="U34" i="14"/>
  <c r="U35" i="14"/>
  <c r="U36" i="14"/>
  <c r="U37" i="14"/>
  <c r="U38" i="14"/>
  <c r="U39" i="14"/>
  <c r="U40" i="14"/>
  <c r="U41" i="14"/>
  <c r="U42" i="14"/>
  <c r="U43" i="14"/>
  <c r="U44" i="14"/>
  <c r="U45" i="14"/>
  <c r="U46" i="14"/>
  <c r="U47" i="14"/>
  <c r="U48" i="14"/>
  <c r="U49" i="14"/>
  <c r="U50" i="14"/>
  <c r="U51" i="14"/>
  <c r="U2" i="14"/>
  <c r="U3" i="13"/>
  <c r="U4" i="13"/>
  <c r="U5" i="13"/>
  <c r="U6" i="13"/>
  <c r="U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2" i="13"/>
  <c r="U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2" i="12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2" i="11"/>
  <c r="U3" i="10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2" i="10"/>
  <c r="U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2" i="9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2" i="8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2" i="7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2" i="5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2" i="4"/>
  <c r="U40" i="3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2" i="1"/>
</calcChain>
</file>

<file path=xl/sharedStrings.xml><?xml version="1.0" encoding="utf-8"?>
<sst xmlns="http://schemas.openxmlformats.org/spreadsheetml/2006/main" count="5859" uniqueCount="1878">
  <si>
    <t>2B</t>
  </si>
  <si>
    <t>P</t>
  </si>
  <si>
    <t>OF</t>
  </si>
  <si>
    <t>1B</t>
  </si>
  <si>
    <t>RF</t>
  </si>
  <si>
    <t>SS</t>
  </si>
  <si>
    <t>C</t>
  </si>
  <si>
    <t>Name</t>
  </si>
  <si>
    <t>RHP</t>
  </si>
  <si>
    <t>LHP</t>
  </si>
  <si>
    <t>Year</t>
  </si>
  <si>
    <t>3B</t>
  </si>
  <si>
    <t>AAA</t>
  </si>
  <si>
    <t>AA</t>
  </si>
  <si>
    <t>A+</t>
  </si>
  <si>
    <t>Rnd</t>
  </si>
  <si>
    <t>OvPck</t>
  </si>
  <si>
    <t>RdPck</t>
  </si>
  <si>
    <t>Tm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</si>
  <si>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</si>
  <si>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</si>
  <si>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</si>
  <si>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</si>
  <si>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</si>
  <si>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</si>
  <si>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</si>
  <si>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</si>
  <si>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</si>
  <si>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</si>
  <si>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</si>
  <si>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</si>
  <si>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</si>
  <si>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Guardians</t>
  </si>
  <si>
    <t>Travis Bazzana (minors)</t>
  </si>
  <si>
    <t>4Yr</t>
  </si>
  <si>
    <t>Reds</t>
  </si>
  <si>
    <t>Chase Burns (minors)</t>
  </si>
  <si>
    <t>Rockies</t>
  </si>
  <si>
    <t>Charlie Condon (minors)</t>
  </si>
  <si>
    <t>Athletics</t>
  </si>
  <si>
    <t>Nick Kurtz (minors)</t>
  </si>
  <si>
    <t>White Sox</t>
  </si>
  <si>
    <t>Hagen Smith (minors)</t>
  </si>
  <si>
    <t>Royals</t>
  </si>
  <si>
    <t>Jac Caglianone (minors)</t>
  </si>
  <si>
    <t>TWP</t>
  </si>
  <si>
    <t>Cardinals</t>
  </si>
  <si>
    <t>JJ Wetherholt (minors)</t>
  </si>
  <si>
    <t>Angels</t>
  </si>
  <si>
    <t>Christian Moore (minors)</t>
  </si>
  <si>
    <t>Pirates</t>
  </si>
  <si>
    <t>Konnor Griffin (minors)</t>
  </si>
  <si>
    <t>HS</t>
  </si>
  <si>
    <t>Nationals</t>
  </si>
  <si>
    <t>Seaver King (minors)</t>
  </si>
  <si>
    <t>Tigers</t>
  </si>
  <si>
    <t>Bryce Rainer (minors)</t>
  </si>
  <si>
    <t>Red Sox</t>
  </si>
  <si>
    <t>Braden Montgomery (minors)</t>
  </si>
  <si>
    <t>Giants</t>
  </si>
  <si>
    <t>James Tibbs III (minors)</t>
  </si>
  <si>
    <t>Cubs</t>
  </si>
  <si>
    <t>Cam Smith (minors)</t>
  </si>
  <si>
    <t>Mariners</t>
  </si>
  <si>
    <t>Jurrangelo Cijntje (minors)</t>
  </si>
  <si>
    <t>Marlins</t>
  </si>
  <si>
    <t>PJ Morlando (minors)</t>
  </si>
  <si>
    <t>Brewers</t>
  </si>
  <si>
    <t>Braylon Payne (minors)</t>
  </si>
  <si>
    <t>Rays</t>
  </si>
  <si>
    <t>Theo Gillen (minors)</t>
  </si>
  <si>
    <t>Mets</t>
  </si>
  <si>
    <t>Carson Benge (minors)</t>
  </si>
  <si>
    <t>Blue Jays</t>
  </si>
  <si>
    <t>Trey Yesavage (minors)</t>
  </si>
  <si>
    <t>Twins</t>
  </si>
  <si>
    <t>Kaelen Culpepper (minors)</t>
  </si>
  <si>
    <t>Orioles</t>
  </si>
  <si>
    <t>Vance Honeycutt (minors)</t>
  </si>
  <si>
    <t>Dodgers</t>
  </si>
  <si>
    <t>Kellon Lindsey (minors)</t>
  </si>
  <si>
    <t>Braves</t>
  </si>
  <si>
    <t>Cam Caminiti (minors)</t>
  </si>
  <si>
    <t>Padres</t>
  </si>
  <si>
    <t>Kash Mayfield (minors)</t>
  </si>
  <si>
    <t>Yankees</t>
  </si>
  <si>
    <t>Ben Hess (minors)</t>
  </si>
  <si>
    <t>Phillies</t>
  </si>
  <si>
    <t>Dante Nori (minors)</t>
  </si>
  <si>
    <t>Astros</t>
  </si>
  <si>
    <t>Walker Janek (minors)</t>
  </si>
  <si>
    <t>Diamondbacks</t>
  </si>
  <si>
    <t>Slade Caldwell (minors)</t>
  </si>
  <si>
    <t>Rangers</t>
  </si>
  <si>
    <t>Malcolm Moore (minors)</t>
  </si>
  <si>
    <t>Ryan Waldschmidt (minors)</t>
  </si>
  <si>
    <t>Griff O'Ferrall (minors)</t>
  </si>
  <si>
    <t>Kyle DeBarge (minors)</t>
  </si>
  <si>
    <t>Blake Burke (minors)</t>
  </si>
  <si>
    <t>JD Dix (minors)</t>
  </si>
  <si>
    <t>Braylon Doughty (minors)</t>
  </si>
  <si>
    <t>Levi Sterling (minors)</t>
  </si>
  <si>
    <t>Brody Brecht (minors)</t>
  </si>
  <si>
    <t>Caleb Lomavita (minors)</t>
  </si>
  <si>
    <t>OvPck▲</t>
  </si>
  <si>
    <t>HS?</t>
  </si>
  <si>
    <t>Paul Skenes (minors)</t>
  </si>
  <si>
    <t>Dylan Crews (minors)</t>
  </si>
  <si>
    <t>Max Clark (minors)</t>
  </si>
  <si>
    <t>Wyatt Langford (minors)</t>
  </si>
  <si>
    <t>Walker Jenkins (minors)</t>
  </si>
  <si>
    <t>Jacob Wilson (minors)</t>
  </si>
  <si>
    <t>Rhett Lowder (minors)</t>
  </si>
  <si>
    <t>Blake Mitchell (minors)</t>
  </si>
  <si>
    <t>Chase Dollander (minors)</t>
  </si>
  <si>
    <t>Noble Meyer (minors)</t>
  </si>
  <si>
    <t>Nolan Schanuel (minors)</t>
  </si>
  <si>
    <t>Tommy Troy (minors)</t>
  </si>
  <si>
    <t>Matt Shaw (minors)</t>
  </si>
  <si>
    <t>Kyle Teel (minors)</t>
  </si>
  <si>
    <t>Jacob Gonzalez (minors)</t>
  </si>
  <si>
    <t>Bryce Eldridge (minors)</t>
  </si>
  <si>
    <t>Enrique Bradfield (minors)</t>
  </si>
  <si>
    <t>Brock Wilken (minors)</t>
  </si>
  <si>
    <t>Brayden Taylor (minors)</t>
  </si>
  <si>
    <t>Arjun Nimmala (minors)</t>
  </si>
  <si>
    <t>Chase Davis (minors)</t>
  </si>
  <si>
    <t>Colt Emerson (minors)</t>
  </si>
  <si>
    <t>Ralphy Velazquez (minors)</t>
  </si>
  <si>
    <t>Hurston Waldrep (minors)</t>
  </si>
  <si>
    <t>Dillon Head (minors)</t>
  </si>
  <si>
    <t>George Lombard Jr. (minors)</t>
  </si>
  <si>
    <t>Aidan Miller (minors)</t>
  </si>
  <si>
    <t>Brice Matthews (minors)</t>
  </si>
  <si>
    <t>Jonny Farmelo (minors)</t>
  </si>
  <si>
    <t>Tai Peete (minors)</t>
  </si>
  <si>
    <t>Adrian Santana (minors)</t>
  </si>
  <si>
    <t>Colin Houck (minors)</t>
  </si>
  <si>
    <t>Josh Knoth (minors)</t>
  </si>
  <si>
    <t>Charlee Soto (minors)</t>
  </si>
  <si>
    <t>Thomas White (minors)</t>
  </si>
  <si>
    <t>Kendall George (minors)</t>
  </si>
  <si>
    <t>Kevin McGonigle (minors)</t>
  </si>
  <si>
    <t>Ty Floyd (minors)</t>
  </si>
  <si>
    <t>Myles Naylor (minors)</t>
  </si>
  <si>
    <t>Jackson Holliday (minors)</t>
  </si>
  <si>
    <t>Druw Jones (minors)</t>
  </si>
  <si>
    <t>Kumar Rocker (minors)</t>
  </si>
  <si>
    <t>Termarr Johnson (minors)</t>
  </si>
  <si>
    <t>Elijah Green (minors)</t>
  </si>
  <si>
    <t>Jacob Berry (minors)</t>
  </si>
  <si>
    <t>Cade Horton (minors)</t>
  </si>
  <si>
    <t>Brooks Lee (minors)</t>
  </si>
  <si>
    <t>Gavin Cross (minors)</t>
  </si>
  <si>
    <t>Gabriel Hughes (minors)</t>
  </si>
  <si>
    <t>Kevin Parada (minors)</t>
  </si>
  <si>
    <t>Jace Jung (minors)</t>
  </si>
  <si>
    <t>Zach Neto (minors)</t>
  </si>
  <si>
    <t>Jett Williams (minors)</t>
  </si>
  <si>
    <t>Dylan Lesko (minors)</t>
  </si>
  <si>
    <t>Chase DeLauter (minors)</t>
  </si>
  <si>
    <t>Justin Crawford (minors)</t>
  </si>
  <si>
    <t>Cam Collier (minors)</t>
  </si>
  <si>
    <t>JC</t>
  </si>
  <si>
    <t>Daniel Susac (minors)</t>
  </si>
  <si>
    <t>Owen Murphy (minors)</t>
  </si>
  <si>
    <t>Cole Young (minors)</t>
  </si>
  <si>
    <t>Cooper Hjerpe (minors)</t>
  </si>
  <si>
    <t>Brandon Barriera (minors)</t>
  </si>
  <si>
    <t>Mikey Romero (minors)</t>
  </si>
  <si>
    <t>Spencer Jones (minors)</t>
  </si>
  <si>
    <t>Noah Schultz (minors)</t>
  </si>
  <si>
    <t>Eric Brown (minors)</t>
  </si>
  <si>
    <t>Drew Gilbert (minors)</t>
  </si>
  <si>
    <t>Xavier Isaac (minors)</t>
  </si>
  <si>
    <t>Reggie Crawford (minors)</t>
  </si>
  <si>
    <t>Sterlin Thompson (minors)</t>
  </si>
  <si>
    <t>Sal Stewart (minors)</t>
  </si>
  <si>
    <t>Dylan Beavers (minors)</t>
  </si>
  <si>
    <t>Landon Sims (minors)</t>
  </si>
  <si>
    <t>JR Ritchie (minors)</t>
  </si>
  <si>
    <t>Tom Harrington (minors)</t>
  </si>
  <si>
    <t>Justin Campbell (minors)</t>
  </si>
  <si>
    <t>Jordan Beck (minors)</t>
  </si>
  <si>
    <t>Robby Snelling (minors)</t>
  </si>
  <si>
    <t>Henry Davis (minors)</t>
  </si>
  <si>
    <t>Jack Leiter (minors)</t>
  </si>
  <si>
    <t>Jackson Jobe (minors)</t>
  </si>
  <si>
    <t>Marcelo Mayer (minors)</t>
  </si>
  <si>
    <t>Colton Cowser (minors)</t>
  </si>
  <si>
    <t>Jordan Lawlar (minors)</t>
  </si>
  <si>
    <t>Frank Mozzicato (minors)</t>
  </si>
  <si>
    <t>Benny Montgomery (minors)</t>
  </si>
  <si>
    <t>Sam Bachman (minors)</t>
  </si>
  <si>
    <t>Brady House (minors)</t>
  </si>
  <si>
    <t>Harry Ford (minors)</t>
  </si>
  <si>
    <t>Andrew Painter (minors)</t>
  </si>
  <si>
    <t>Will Bednar (minors)</t>
  </si>
  <si>
    <t>Sal Frelick (minors)</t>
  </si>
  <si>
    <t>Kahlil Watson (minors)</t>
  </si>
  <si>
    <t>Matt McLain (minors)</t>
  </si>
  <si>
    <t>Michael McGreevy (minors)</t>
  </si>
  <si>
    <t>Gunnar Hoglund (minors)</t>
  </si>
  <si>
    <t>Trey Sweeney (minors)</t>
  </si>
  <si>
    <t>Jordan Wicks (minors)</t>
  </si>
  <si>
    <t>Colson Montgomery (minors)</t>
  </si>
  <si>
    <t>Indians</t>
  </si>
  <si>
    <t>Gavin Williams (minors)</t>
  </si>
  <si>
    <t>Ryan Cusick (minors)</t>
  </si>
  <si>
    <t>Max Muncy (minors)</t>
  </si>
  <si>
    <t>Chase Petty (minors)</t>
  </si>
  <si>
    <t>Jackson Merrill (minors)</t>
  </si>
  <si>
    <t>Carson Williams (minors)</t>
  </si>
  <si>
    <t>Maddux Bruns (minors)</t>
  </si>
  <si>
    <t>Jay Allen (minors)</t>
  </si>
  <si>
    <t>Joe Mack (minors)</t>
  </si>
  <si>
    <t>Ty Madden (minors)</t>
  </si>
  <si>
    <t>Tyler Black (minors)</t>
  </si>
  <si>
    <t>Cooper Kinney (minors)</t>
  </si>
  <si>
    <t>Mat Nelson (minors)</t>
  </si>
  <si>
    <t>Noah Miller (minors)</t>
  </si>
  <si>
    <t>Adley Rutschman (minors)</t>
  </si>
  <si>
    <t>Bobby Witt Jr. (minors)</t>
  </si>
  <si>
    <t>Andrew Vaughn (minors)</t>
  </si>
  <si>
    <t>JJ Bleday (minors)</t>
  </si>
  <si>
    <t>Riley Greene (minors)</t>
  </si>
  <si>
    <t>CJ Abrams (minors)</t>
  </si>
  <si>
    <t>Nick Lodolo (minors)</t>
  </si>
  <si>
    <t>Josh Jung (minors)</t>
  </si>
  <si>
    <t>Shea Langeliers (minors)</t>
  </si>
  <si>
    <t>Hunter Bishop (minors)</t>
  </si>
  <si>
    <t>Alek Manoah (minors)</t>
  </si>
  <si>
    <t>Brett Baty (minors)</t>
  </si>
  <si>
    <t>Keoni Cavaco (minors)</t>
  </si>
  <si>
    <t>Bryson Stott (minors)</t>
  </si>
  <si>
    <t>Will Wilson (minors)</t>
  </si>
  <si>
    <t>Corbin Carroll (minors)</t>
  </si>
  <si>
    <t>CF</t>
  </si>
  <si>
    <t>Jackson Rutledge (minors)</t>
  </si>
  <si>
    <t>Quinn Priester (minors)</t>
  </si>
  <si>
    <t>Zack Thompson (minors)</t>
  </si>
  <si>
    <t>George Kirby (minors)</t>
  </si>
  <si>
    <t>Braden Shewmake (minors)</t>
  </si>
  <si>
    <t>Greg Jones (minors)</t>
  </si>
  <si>
    <t>Michael Toglia (minors)</t>
  </si>
  <si>
    <t>Daniel Espino (minors)</t>
  </si>
  <si>
    <t>Kody Hoese (minors)</t>
  </si>
  <si>
    <t>Blake Walston (minors)</t>
  </si>
  <si>
    <t>Ryan Jensen (minors)</t>
  </si>
  <si>
    <t>Ethan Small (minors)</t>
  </si>
  <si>
    <t>Logan Davidson (minors)</t>
  </si>
  <si>
    <t>Anthony Volpe (minors)</t>
  </si>
  <si>
    <t>Michael Busch (minors)</t>
  </si>
  <si>
    <t>Korey Lee (minors)</t>
  </si>
  <si>
    <t>Brennan Malone (minors)</t>
  </si>
  <si>
    <t>Drey Jameson (minors)</t>
  </si>
  <si>
    <t>Kameron Misner (minors)</t>
  </si>
  <si>
    <t>JJ Goss (minors)</t>
  </si>
  <si>
    <t>Sammy Siani (minors)</t>
  </si>
  <si>
    <t>T.J. Sikkema (minors)</t>
  </si>
  <si>
    <t>Matt Wallner (minors)</t>
  </si>
  <si>
    <t>Seth Johnson (minors)</t>
  </si>
  <si>
    <t>Davis Wendzel (minors)</t>
  </si>
  <si>
    <t>Casey Mize (minors)</t>
  </si>
  <si>
    <t>Joey Bart (minors)</t>
  </si>
  <si>
    <t>Alec Bohm (minors)</t>
  </si>
  <si>
    <t>Nick Madrigal (minors)</t>
  </si>
  <si>
    <t>Jonathan India (minors)</t>
  </si>
  <si>
    <t>Jarred Kelenic (minors)</t>
  </si>
  <si>
    <t>Ryan Weathers (minors)</t>
  </si>
  <si>
    <t>Carter Stewart (minors)</t>
  </si>
  <si>
    <t>Kyler Murray (minors)</t>
  </si>
  <si>
    <t>Travis Swaggerty (minors)</t>
  </si>
  <si>
    <t>Grayson Rodriguez (minors)</t>
  </si>
  <si>
    <t>Jordan Groshans (minors)</t>
  </si>
  <si>
    <t>Connor Scott (minors)</t>
  </si>
  <si>
    <t>Logan Gilbert (minors)</t>
  </si>
  <si>
    <t>Cole Winn (minors)</t>
  </si>
  <si>
    <t>Matthew Liberatore (minors)</t>
  </si>
  <si>
    <t>Jordyn Adams (minors)</t>
  </si>
  <si>
    <t>Brady Singer (minors)</t>
  </si>
  <si>
    <t>Nolan Gorman (minors)</t>
  </si>
  <si>
    <t>Trevor Larnach (minors)</t>
  </si>
  <si>
    <t>Brice Turang (minors)</t>
  </si>
  <si>
    <t>Ryan Rolison (minors)</t>
  </si>
  <si>
    <t>Anthony Seigler (minors)</t>
  </si>
  <si>
    <t>Nico Hoerner (minors)</t>
  </si>
  <si>
    <t>Triston Casas (minors)</t>
  </si>
  <si>
    <t>Mason Denaburg (minors)</t>
  </si>
  <si>
    <t>Seth Beer (minors)</t>
  </si>
  <si>
    <t>Bo Naylor (minors)</t>
  </si>
  <si>
    <t>J.T. Ginn (minors)</t>
  </si>
  <si>
    <t>Shane McClanahan (minors)</t>
  </si>
  <si>
    <t>Nick Schnell (minors)</t>
  </si>
  <si>
    <t>Jackson Kowar (minors)</t>
  </si>
  <si>
    <t>Daniel Lynch IV (minors)</t>
  </si>
  <si>
    <t>Ethan Hankins (minors)</t>
  </si>
  <si>
    <t>Cadyn Grenier (minors)</t>
  </si>
  <si>
    <t>Xavier Edwards (minors)</t>
  </si>
  <si>
    <t>Jake McCarthy (minors)</t>
  </si>
  <si>
    <t>Kris Bubic (minors)</t>
  </si>
  <si>
    <t>Lenny Torres (minors)</t>
  </si>
  <si>
    <t>Grant Lavigne (minors)</t>
  </si>
  <si>
    <t>Griffin Roberts (minors)</t>
  </si>
  <si>
    <t>Royce Lewis (minors)</t>
  </si>
  <si>
    <t>Hunter Greene (minors)</t>
  </si>
  <si>
    <t>MacKenzie Gore (minors)</t>
  </si>
  <si>
    <t>Brendan McKay (minors)</t>
  </si>
  <si>
    <t>Kyle Wright (minors)</t>
  </si>
  <si>
    <t>Austin Beck (minors)</t>
  </si>
  <si>
    <t>Pavin Smith (minors)</t>
  </si>
  <si>
    <t>Adam Haseley (minors)</t>
  </si>
  <si>
    <t>Keston Hiura (minors)</t>
  </si>
  <si>
    <t>Jo Adell (minors)</t>
  </si>
  <si>
    <t>Jake Burger (minors)</t>
  </si>
  <si>
    <t>Shane Baz (minors)</t>
  </si>
  <si>
    <t>Trevor Rogers (minors)</t>
  </si>
  <si>
    <t>Nick Pratto (minors)</t>
  </si>
  <si>
    <t>JB Bukauskas (minors)</t>
  </si>
  <si>
    <t>Clarke Schmidt (minors)</t>
  </si>
  <si>
    <t>Evan White (minors)</t>
  </si>
  <si>
    <t>Alex Faedo (minors)</t>
  </si>
  <si>
    <t>Heliot Ramos (minors)</t>
  </si>
  <si>
    <t>David Peterson (minors)</t>
  </si>
  <si>
    <t>DL Hall (minors)</t>
  </si>
  <si>
    <t>Logan Warmoth (minors)</t>
  </si>
  <si>
    <t>Jeren Kendall (minors)</t>
  </si>
  <si>
    <t>Tanner Houck (minors)</t>
  </si>
  <si>
    <t>Seth Romero (minors)</t>
  </si>
  <si>
    <t>Bubba Thompson (minors)</t>
  </si>
  <si>
    <t>Brendon Little (minors)</t>
  </si>
  <si>
    <t>Nate Pearson (minors)</t>
  </si>
  <si>
    <t>Chris Seise (minors)</t>
  </si>
  <si>
    <t>Alex Lange (minors)</t>
  </si>
  <si>
    <t>Drew Rasmussen (minors)</t>
  </si>
  <si>
    <t>Jeter Downs (minors)</t>
  </si>
  <si>
    <t>Kevin Merrell (minors)</t>
  </si>
  <si>
    <t>Tristen Lutz (minors)</t>
  </si>
  <si>
    <t>Brent Rooker (minors)</t>
  </si>
  <si>
    <t>Brian Miller (minors)</t>
  </si>
  <si>
    <t>Mickey Moniak (minors)</t>
  </si>
  <si>
    <t>Nick Senzel (minors)</t>
  </si>
  <si>
    <t>Ian Anderson (minors)</t>
  </si>
  <si>
    <t>Riley Pint (minors)</t>
  </si>
  <si>
    <t>Corey Ray (minors)</t>
  </si>
  <si>
    <t>A.J. Puk (minors)</t>
  </si>
  <si>
    <t>Braxton Garrett (minors)</t>
  </si>
  <si>
    <t>Cal Quantrill (minors)</t>
  </si>
  <si>
    <t>Matt Manning (minors)</t>
  </si>
  <si>
    <t>Zack Collins (minors)</t>
  </si>
  <si>
    <t>Kyle Lewis (minors)</t>
  </si>
  <si>
    <t>Jay Groome (minors)</t>
  </si>
  <si>
    <t>Josh Lowe (minors)</t>
  </si>
  <si>
    <t>Will Benson (minors)</t>
  </si>
  <si>
    <t>Alex Kirilloff (minors)</t>
  </si>
  <si>
    <t>Matt Thaiss (minors)</t>
  </si>
  <si>
    <t>Forrest Whitley (minors)</t>
  </si>
  <si>
    <t>Blake Rutherford (minors)</t>
  </si>
  <si>
    <t>Justin Dunn (minors)</t>
  </si>
  <si>
    <t>Gavin Lux (minors)</t>
  </si>
  <si>
    <t>T.J. Zeuch (minors)</t>
  </si>
  <si>
    <t>Will Craig (minors)</t>
  </si>
  <si>
    <t>Delvin Pérez (minors)</t>
  </si>
  <si>
    <t>Hudson Potts (minors)</t>
  </si>
  <si>
    <t>Eric Lauer (minors)</t>
  </si>
  <si>
    <t>Zack Burdi (minors)</t>
  </si>
  <si>
    <t>Cody Sedlock (minors)</t>
  </si>
  <si>
    <t>Carter Kieboom (minors)</t>
  </si>
  <si>
    <t>Dane Dunning (minors)</t>
  </si>
  <si>
    <t>Cole Ragans (minors)</t>
  </si>
  <si>
    <t>Anthony Kay (minors)</t>
  </si>
  <si>
    <t>Will Smith (minors)</t>
  </si>
  <si>
    <t>Dylan Carlson (minors)</t>
  </si>
  <si>
    <t>Dakota Hudson (minors)</t>
  </si>
  <si>
    <t>Taylor Trammell (minors)</t>
  </si>
  <si>
    <t>Jordan Sheffield (minors)</t>
  </si>
  <si>
    <t>Daulton Jefferies (minors)</t>
  </si>
  <si>
    <t>Robert Tyler (minors)</t>
  </si>
  <si>
    <t>Anfernee Grier (minors)</t>
  </si>
  <si>
    <t>Joey Wentz (minors)</t>
  </si>
  <si>
    <t>Dansby Swanson (minors)</t>
  </si>
  <si>
    <t>Alex Bregman (minors)</t>
  </si>
  <si>
    <t>Brendan Rodgers (minors)</t>
  </si>
  <si>
    <t>Dillon Tate (minors)</t>
  </si>
  <si>
    <t>Kyle Tucker (minors)</t>
  </si>
  <si>
    <t>Tyler Jay (minors)</t>
  </si>
  <si>
    <t>Andrew Benintendi (minors)</t>
  </si>
  <si>
    <t>Carson Fulmer (minors)</t>
  </si>
  <si>
    <t>Ian Happ (minors)</t>
  </si>
  <si>
    <t>Cornelius Randolph (minors)</t>
  </si>
  <si>
    <t>Tyler Stephenson (minors)</t>
  </si>
  <si>
    <t>Josh Naylor (minors)</t>
  </si>
  <si>
    <t>Garrett Whitley (minors)</t>
  </si>
  <si>
    <t>Kolby Allard (minors)</t>
  </si>
  <si>
    <t>Trent Grisham (minors)</t>
  </si>
  <si>
    <t>James Kaprielian (minors)</t>
  </si>
  <si>
    <t>Brady Aiken (minors)</t>
  </si>
  <si>
    <t>Phil Bickford (minors)</t>
  </si>
  <si>
    <t>Kevin Newman (minors)</t>
  </si>
  <si>
    <t>Richie Martin (minors)</t>
  </si>
  <si>
    <t>Ashe Russell (minors)</t>
  </si>
  <si>
    <t>Beau Burrows (minors)</t>
  </si>
  <si>
    <t>Nick Plummer (minors)</t>
  </si>
  <si>
    <t>Walker Buehler (minors)</t>
  </si>
  <si>
    <t>DJ Stewart (minors)</t>
  </si>
  <si>
    <t>Taylor Ward (minors)</t>
  </si>
  <si>
    <t>Mike Nikorak (minors)</t>
  </si>
  <si>
    <t>Michael Soroka (minors)</t>
  </si>
  <si>
    <t>Jon Harris (minors)</t>
  </si>
  <si>
    <t>Kyle Holder (minors)</t>
  </si>
  <si>
    <t>Chris Shaw (minors)</t>
  </si>
  <si>
    <t>Ke'Bryan Hayes (minors)</t>
  </si>
  <si>
    <t>Nolan Watson (minors)</t>
  </si>
  <si>
    <t>Christin Stewart (minors)</t>
  </si>
  <si>
    <t>Kyle Funkhouser (minors)</t>
  </si>
  <si>
    <t>Ryan Mountcastle (minors)</t>
  </si>
  <si>
    <t>Daz Cameron (minors)</t>
  </si>
  <si>
    <t>Tyler Nevin (minors)</t>
  </si>
  <si>
    <t>Jake Woodford (minors)</t>
  </si>
  <si>
    <t>Nathan Kirby (minors)</t>
  </si>
  <si>
    <t>Austin Riley (minors)</t>
  </si>
  <si>
    <t>Triston McKenzie (minors)</t>
  </si>
  <si>
    <t>Tyler Kolek (minors)</t>
  </si>
  <si>
    <t>Carlos Rodón (minors)</t>
  </si>
  <si>
    <t>Kyle Schwarber (minors)</t>
  </si>
  <si>
    <t>Nick Gordon (minors)</t>
  </si>
  <si>
    <t>Alex Jackson (minors)</t>
  </si>
  <si>
    <t>Aaron Nola (minors)</t>
  </si>
  <si>
    <t>Kyle Freeland (minors)</t>
  </si>
  <si>
    <t>Jeff Hoffman (minors)</t>
  </si>
  <si>
    <t>Michael Conforto (minors)</t>
  </si>
  <si>
    <t>Max Pentecost (minors)</t>
  </si>
  <si>
    <t>Kodi Medeiros (minors)</t>
  </si>
  <si>
    <t>Trea Turner (minors)</t>
  </si>
  <si>
    <t>Tyler Beede (minors)</t>
  </si>
  <si>
    <t>Sean Newcomb (minors)</t>
  </si>
  <si>
    <t>Touki Toussaint (minors)</t>
  </si>
  <si>
    <t>Brandon Finnegan (minors)</t>
  </si>
  <si>
    <t>Erick Fedde (minors)</t>
  </si>
  <si>
    <t>Nick Howard (minors)</t>
  </si>
  <si>
    <t>Casey Gillaspie (minors)</t>
  </si>
  <si>
    <t>Bradley Zimmer (minors)</t>
  </si>
  <si>
    <t>Grant Holmes (minors)</t>
  </si>
  <si>
    <t>Derek Hill (minors)</t>
  </si>
  <si>
    <t>Cole Tucker (minors)</t>
  </si>
  <si>
    <t>Matt Chapman (minors)</t>
  </si>
  <si>
    <t>Michael Chavis (minors)</t>
  </si>
  <si>
    <t>Luke Weaver (minors)</t>
  </si>
  <si>
    <t>Foster Griffin (minors)</t>
  </si>
  <si>
    <t>Alex Blandino (minors)</t>
  </si>
  <si>
    <t>Luis Ortiz (minors)</t>
  </si>
  <si>
    <t>Justus Sheffield (minors)</t>
  </si>
  <si>
    <t>Braxton Davidson (minors)</t>
  </si>
  <si>
    <t>Michael Kopech (minors)</t>
  </si>
  <si>
    <t>Jack Flaherty (minors)</t>
  </si>
  <si>
    <t>Forrest Wall (minors)</t>
  </si>
  <si>
    <t>Blake Anderson (minors)</t>
  </si>
  <si>
    <t>Derek Fisher (minors)</t>
  </si>
  <si>
    <t>Mike Papi (minors)</t>
  </si>
  <si>
    <t>Connor Joe (minors)</t>
  </si>
  <si>
    <t>Chase Vallot (minors)</t>
  </si>
  <si>
    <t>Jake Gatewood (minors)</t>
  </si>
  <si>
    <t>Mark Appel (minors)</t>
  </si>
  <si>
    <t>Kris Bryant (minors)</t>
  </si>
  <si>
    <t>Jon Gray (minors)</t>
  </si>
  <si>
    <t>Kohl Stewart (minors)</t>
  </si>
  <si>
    <t>Clint Frazier (minors)</t>
  </si>
  <si>
    <t>Colin Moran (minors)</t>
  </si>
  <si>
    <t>Trey Ball (minors)</t>
  </si>
  <si>
    <t>Hunter Dozier (minors)</t>
  </si>
  <si>
    <t>*Austin Meadows (minors)</t>
  </si>
  <si>
    <t>Dominic Smith (minors)</t>
  </si>
  <si>
    <t>D.J. Peterson (minors)</t>
  </si>
  <si>
    <t>Hunter Renfroe (minors)</t>
  </si>
  <si>
    <t>Reese McGuire (minors)</t>
  </si>
  <si>
    <t>Braden Shipley (minors)</t>
  </si>
  <si>
    <t>J.P. Crawford (minors)</t>
  </si>
  <si>
    <t>Tim Anderson (minors)</t>
  </si>
  <si>
    <t>Chris Anderson (minors)</t>
  </si>
  <si>
    <t>Marco Gonzales (minors)</t>
  </si>
  <si>
    <t>Jonathon Crawford (minors)</t>
  </si>
  <si>
    <t>Nick Ciuffo (minors)</t>
  </si>
  <si>
    <t>Hunter Harvey (minors)</t>
  </si>
  <si>
    <t>Chi Chi González (minors)</t>
  </si>
  <si>
    <t>Billy McKinney (minors)</t>
  </si>
  <si>
    <t>Christian Arroyo (minors)</t>
  </si>
  <si>
    <t>Eric Jagielo (minors)</t>
  </si>
  <si>
    <t>Phil Ervin (minors)</t>
  </si>
  <si>
    <t>Cardinals via Brewers</t>
  </si>
  <si>
    <t>*Rob Kaminsky (minors)</t>
  </si>
  <si>
    <t>Rays via Braves</t>
  </si>
  <si>
    <t>*Ryne Stanek (minors)</t>
  </si>
  <si>
    <t>Rangers via Angels</t>
  </si>
  <si>
    <t>*Travis Demeritte (minors)</t>
  </si>
  <si>
    <t>Braves via Indians</t>
  </si>
  <si>
    <t>*Jason Hursh (minors)</t>
  </si>
  <si>
    <t>Yankees via Indians</t>
  </si>
  <si>
    <t>*Aaron Judge (minors)</t>
  </si>
  <si>
    <t>Yankees via Nationals</t>
  </si>
  <si>
    <t>*Ian Clarkin (minors)</t>
  </si>
  <si>
    <t>Sean Manaea (minors)</t>
  </si>
  <si>
    <t>Matt Krook (minors)</t>
  </si>
  <si>
    <t>Aaron Blair (minors)</t>
  </si>
  <si>
    <t>Josh Hart (minors)</t>
  </si>
  <si>
    <t>Michael Lorenzen (minors)</t>
  </si>
  <si>
    <t>Corey Knebel (minors)</t>
  </si>
  <si>
    <t>Carlos Correa (minors)</t>
  </si>
  <si>
    <t>Byron Buxton (minors)</t>
  </si>
  <si>
    <t>Mike Zunino (minors)</t>
  </si>
  <si>
    <t>Kevin Gausman (minors)</t>
  </si>
  <si>
    <t>Kyle Zimmer (minors)</t>
  </si>
  <si>
    <t>Albert Almora (minors)</t>
  </si>
  <si>
    <t>Max Fried (minors)</t>
  </si>
  <si>
    <t>Andrew Heaney (minors)</t>
  </si>
  <si>
    <t>David Dahl (minors)</t>
  </si>
  <si>
    <t>Addison Russell (minors)</t>
  </si>
  <si>
    <t>Gavin Cecchini (minors)</t>
  </si>
  <si>
    <t>Courtney Hawkins (minors)</t>
  </si>
  <si>
    <t>Nick Travieso (minors)</t>
  </si>
  <si>
    <t>Tyler Naquin (minors)</t>
  </si>
  <si>
    <t>Lucas Giolito (minors)</t>
  </si>
  <si>
    <t>D.J. Davis (minors)</t>
  </si>
  <si>
    <t>Corey Seager (minors)</t>
  </si>
  <si>
    <t>Cardinals via Angels</t>
  </si>
  <si>
    <t>*Michael Wacha (minors)</t>
  </si>
  <si>
    <t>Chris Stratton (minors)</t>
  </si>
  <si>
    <t>Lucas Sims (minors)</t>
  </si>
  <si>
    <t>*Marcus Stroman (minors)</t>
  </si>
  <si>
    <t>James Ramsey (minors)</t>
  </si>
  <si>
    <t>Deven Marrero (minors)</t>
  </si>
  <si>
    <t>Richie Shaffer (minors)</t>
  </si>
  <si>
    <t>Stryker Trahan (minors)</t>
  </si>
  <si>
    <t>Brewers via Tigers</t>
  </si>
  <si>
    <t>*Clint Coulter (minors)</t>
  </si>
  <si>
    <t>Victor Roache (minors)</t>
  </si>
  <si>
    <t>Lewis Brinson (minors)</t>
  </si>
  <si>
    <t>Ty Hensley (minors)</t>
  </si>
  <si>
    <t>1s</t>
  </si>
  <si>
    <t>*Brian Johnson (minors)</t>
  </si>
  <si>
    <t>*José Berríos (minors)</t>
  </si>
  <si>
    <t>*Zach Eflin (minors)</t>
  </si>
  <si>
    <t>*Daniel Robertson (minors)</t>
  </si>
  <si>
    <t>*Kevin Plawecki (minors)</t>
  </si>
  <si>
    <t>*Stephen Piscotty (minors)</t>
  </si>
  <si>
    <t>*Pat Light (minors)</t>
  </si>
  <si>
    <t>*Mitch Haniger (minors)</t>
  </si>
  <si>
    <t>*Joey Gallo (minors)</t>
  </si>
  <si>
    <t>*Shane Watson (minors)</t>
  </si>
  <si>
    <t>*Lance McCullers Jr. (minors)</t>
  </si>
  <si>
    <t>*Luke Bard (minors)</t>
  </si>
  <si>
    <t>*Pierce Johnson (minors)</t>
  </si>
  <si>
    <t>*Travis Jankowski (minors)</t>
  </si>
  <si>
    <t>*Barrett Barnes (minors)</t>
  </si>
  <si>
    <t>*Eddie Butler (minors)</t>
  </si>
  <si>
    <t>*Matt Olson (minors)</t>
  </si>
  <si>
    <t>*Keon Barnum (minors)</t>
  </si>
  <si>
    <t>*Jesse Winker (minors)</t>
  </si>
  <si>
    <t>*Matt Smoral (minors)</t>
  </si>
  <si>
    <t>Gerrit Cole (minors)</t>
  </si>
  <si>
    <t>Danny Hultzen (minors)</t>
  </si>
  <si>
    <t>Trevor Bauer (minors)</t>
  </si>
  <si>
    <t>Dylan Bundy (minors)</t>
  </si>
  <si>
    <t>Bubba Starling (minors)</t>
  </si>
  <si>
    <t>Anthony Rendon (minors)</t>
  </si>
  <si>
    <t>*Archie Bradley (minors)</t>
  </si>
  <si>
    <t>Francisco Lindor (minors)</t>
  </si>
  <si>
    <t>Javier Báez (minors)</t>
  </si>
  <si>
    <t>*Cory Spangenberg (minors)</t>
  </si>
  <si>
    <t>George Springer (minors)</t>
  </si>
  <si>
    <t>Taylor Jungmann (minors)</t>
  </si>
  <si>
    <t>Brandon Nimmo (minors)</t>
  </si>
  <si>
    <t>José Fernández (minors)</t>
  </si>
  <si>
    <t>*Jed Bradley (minors)</t>
  </si>
  <si>
    <t>Chris Reed (minors)</t>
  </si>
  <si>
    <t>C.J. Cron (minors)</t>
  </si>
  <si>
    <t>Sonny Gray (minors)</t>
  </si>
  <si>
    <t>Red Sox via Tigers</t>
  </si>
  <si>
    <t>*Matt Barnes (minors)</t>
  </si>
  <si>
    <t>Tyler Anderson (minors)</t>
  </si>
  <si>
    <t>Kolten Wong (minors)</t>
  </si>
  <si>
    <t>Nationals via White Sox</t>
  </si>
  <si>
    <t>*Alex Meyer (minors)</t>
  </si>
  <si>
    <t>Rays via Red Sox</t>
  </si>
  <si>
    <t>*Taylor Guerrieri (minors)</t>
  </si>
  <si>
    <t>Joe Ross (minors)</t>
  </si>
  <si>
    <t>Red Sox via Rangers</t>
  </si>
  <si>
    <t>*Blake Swihart (minors)</t>
  </si>
  <si>
    <t>Robert Stephenson (minors)</t>
  </si>
  <si>
    <t>Sean Gilmartin (minors)</t>
  </si>
  <si>
    <t>Joe Panik (minors)</t>
  </si>
  <si>
    <t>Levi Michael (minors)</t>
  </si>
  <si>
    <t>Rays via Yankees</t>
  </si>
  <si>
    <t>*Mikie Mahtook (minors)</t>
  </si>
  <si>
    <t>Jake Hager (minors)</t>
  </si>
  <si>
    <t>Rangers via Phillies</t>
  </si>
  <si>
    <t>*Kevin Matthews (minors)</t>
  </si>
  <si>
    <t>*Brian Goodwin (minors)</t>
  </si>
  <si>
    <t>*Jacob Anderson (minors)</t>
  </si>
  <si>
    <t>*Henry Owens (minors)</t>
  </si>
  <si>
    <t>*Zach Cone (minors)</t>
  </si>
  <si>
    <t>*Brandon Martin (minors)</t>
  </si>
  <si>
    <t>*Larry Greene (minors)</t>
  </si>
  <si>
    <t>*Jackie Bradley Jr. (minors)</t>
  </si>
  <si>
    <t>*Tyler Goeddel (minors)</t>
  </si>
  <si>
    <t>*Jeff Ames (minors)</t>
  </si>
  <si>
    <t>*Andrew Chafin (minors)</t>
  </si>
  <si>
    <t>*Michael Fulmer (minors)</t>
  </si>
  <si>
    <t>*Trevor Story (minors)</t>
  </si>
  <si>
    <t>*Joe Musgrove (minors)</t>
  </si>
  <si>
    <t>*Keenyn Walker (minors)</t>
  </si>
  <si>
    <t>*Michael Kelly (minors)</t>
  </si>
  <si>
    <t>*Kyle Crick (minors)</t>
  </si>
  <si>
    <t>*Travis Harrison (minors)</t>
  </si>
  <si>
    <t>Bryce Harper (minors)</t>
  </si>
  <si>
    <t>Jameson Taillon (minors)</t>
  </si>
  <si>
    <t>Manny Machado (minors)</t>
  </si>
  <si>
    <t>Christian Colón (minors)</t>
  </si>
  <si>
    <t>Drew Pomeranz (minors)</t>
  </si>
  <si>
    <t>Barret Loux (minors)</t>
  </si>
  <si>
    <t>Matt Harvey (minors)</t>
  </si>
  <si>
    <t>Delino DeShields (minors)</t>
  </si>
  <si>
    <t>Karsten Whitson (minors)</t>
  </si>
  <si>
    <t>Michael Choice (minors)</t>
  </si>
  <si>
    <t>Deck McGuire (minors)</t>
  </si>
  <si>
    <t>Yasmani Grandal (minors)</t>
  </si>
  <si>
    <t>Chris Sale (minors)</t>
  </si>
  <si>
    <t>Dylan Covey (minors)</t>
  </si>
  <si>
    <t>*Jake Skole (minors)</t>
  </si>
  <si>
    <t>Hayden Simpson (minors)</t>
  </si>
  <si>
    <t>Josh Sale (minors)</t>
  </si>
  <si>
    <t>Angels via Mariners</t>
  </si>
  <si>
    <t>*Kaleb Cowart (minors)</t>
  </si>
  <si>
    <t>Astros via Tigers</t>
  </si>
  <si>
    <t>*Mike Foltynewicz (minors)</t>
  </si>
  <si>
    <t>Red Sox via Braves</t>
  </si>
  <si>
    <t>*Kolbrin Vitek (minors)</t>
  </si>
  <si>
    <t>Alex Wimmers (minors)</t>
  </si>
  <si>
    <t>Kellin Deglan (minors)</t>
  </si>
  <si>
    <t>Christian Yelich (minors)</t>
  </si>
  <si>
    <t>Gary Brown (minors)</t>
  </si>
  <si>
    <t>Zack Cox (minors)</t>
  </si>
  <si>
    <t>Kyle Parker (minors)</t>
  </si>
  <si>
    <t>Jesse Biddle (minors)</t>
  </si>
  <si>
    <t>Zach Lee (minors)</t>
  </si>
  <si>
    <t>Angels via Red Sox</t>
  </si>
  <si>
    <t>*Cam Bedrosian (minors)</t>
  </si>
  <si>
    <t>Chevy Clarke (minors)</t>
  </si>
  <si>
    <t>*Justin O'Conner (minors)</t>
  </si>
  <si>
    <t>Cito Culver (minors)</t>
  </si>
  <si>
    <t>*Mike Kvasnicka (minors)</t>
  </si>
  <si>
    <t>*Aaron Sanchez (minors)</t>
  </si>
  <si>
    <t>*Matt Lipka (minors)</t>
  </si>
  <si>
    <t>*Bryce Brentz (minors)</t>
  </si>
  <si>
    <t>LF</t>
  </si>
  <si>
    <t>*Taylor Lindsey (minors)</t>
  </si>
  <si>
    <t>*Noah Syndergaard (minors)</t>
  </si>
  <si>
    <t>*Anthony Ranaudo (minors)</t>
  </si>
  <si>
    <t>*Ryan Bolden (minors)</t>
  </si>
  <si>
    <t>*Asher Wojciechowski (minors)</t>
  </si>
  <si>
    <t>*Drew Vettleson (minors)</t>
  </si>
  <si>
    <t>*Taijuan Walker (minors)</t>
  </si>
  <si>
    <t>*Nick Castellanos (minors)</t>
  </si>
  <si>
    <t>*Luke Jackson (minors)</t>
  </si>
  <si>
    <t>*Seth Blair (minors)</t>
  </si>
  <si>
    <t>*Pete Tago (minors)</t>
  </si>
  <si>
    <t>*Chance Ruffin (minors)</t>
  </si>
  <si>
    <t>*Mike Olt (minors)</t>
  </si>
  <si>
    <t>*Tyrell Jenkins (minors)</t>
  </si>
  <si>
    <t>Stephen Strasburg (minors)</t>
  </si>
  <si>
    <t>Dustin Ackley (minors)</t>
  </si>
  <si>
    <t>Donavan Tate (minors)</t>
  </si>
  <si>
    <t>Tony Sanchez (minors)</t>
  </si>
  <si>
    <t>Matt Hobgood (minors)</t>
  </si>
  <si>
    <t>Zack Wheeler (minors)</t>
  </si>
  <si>
    <t>Mike Minor (minors)</t>
  </si>
  <si>
    <t>Mike Leake (minors)</t>
  </si>
  <si>
    <t>Jacob Turner (minors)</t>
  </si>
  <si>
    <t>*Drew Storen (minors)</t>
  </si>
  <si>
    <t>Tyler Matzek (minors)</t>
  </si>
  <si>
    <t>Aaron Crow (minors)</t>
  </si>
  <si>
    <t>Grant Green (minors)</t>
  </si>
  <si>
    <t>Matt Purke (minors)</t>
  </si>
  <si>
    <t>Alex White (minors)</t>
  </si>
  <si>
    <t>Bobby Borchering (minors)</t>
  </si>
  <si>
    <t>Diamondbacks via Dodgers</t>
  </si>
  <si>
    <t>*AJ Pollock (minors)</t>
  </si>
  <si>
    <t>Chad James (minors)</t>
  </si>
  <si>
    <t>Shelby Miller (minors)</t>
  </si>
  <si>
    <t>Chad Jenkins (minors)</t>
  </si>
  <si>
    <t>Jiovanni Mier (minors)</t>
  </si>
  <si>
    <t>Kyle Gibson (minors)</t>
  </si>
  <si>
    <t>Jared Mitchell (minors)</t>
  </si>
  <si>
    <t>Angels via Mets</t>
  </si>
  <si>
    <t>*Randal Grichuk (minors)</t>
  </si>
  <si>
    <t>Angels via Yankees</t>
  </si>
  <si>
    <t>*Mike Trout (minors)</t>
  </si>
  <si>
    <t>Eric Arnett (minors)</t>
  </si>
  <si>
    <t>Mariners via Phillies</t>
  </si>
  <si>
    <t>*Nick Franklin (minors)</t>
  </si>
  <si>
    <t>Rey Fuentes (minors)</t>
  </si>
  <si>
    <t>*Slade Heathcott (minors)</t>
  </si>
  <si>
    <t>LeVon Washington (minors)</t>
  </si>
  <si>
    <t>Brett Jackson (minors)</t>
  </si>
  <si>
    <t>Rockies via Angels</t>
  </si>
  <si>
    <t>*Tim Wheeler (minors)</t>
  </si>
  <si>
    <t>*Steven Baron (minors)</t>
  </si>
  <si>
    <t>*Rex Brothers (minors)</t>
  </si>
  <si>
    <t>*Matt Davidson (minors)</t>
  </si>
  <si>
    <t>*Aaron Miller (minors)</t>
  </si>
  <si>
    <t>*James Paxton (minors)</t>
  </si>
  <si>
    <t>*Josh Phegley (minors)</t>
  </si>
  <si>
    <t>*Kentrail Davis (minors)</t>
  </si>
  <si>
    <t>*Tyler Skaggs (minors)</t>
  </si>
  <si>
    <t>*Chris Owings (minors)</t>
  </si>
  <si>
    <t>*Garrett Richards (minors)</t>
  </si>
  <si>
    <t>*Brad Boxberger (minors)</t>
  </si>
  <si>
    <t>*Tanner Scheppers (minors)</t>
  </si>
  <si>
    <t>*Mike Belfiore (minors)</t>
  </si>
  <si>
    <t>*Matt Bashore (minors)</t>
  </si>
  <si>
    <t>*Kyle Heckathorn (minors)</t>
  </si>
  <si>
    <t>*Tyler Kehrer (minors)</t>
  </si>
  <si>
    <t>*Vic Black (minors)</t>
  </si>
  <si>
    <t>Tim Beckham (minors)</t>
  </si>
  <si>
    <t>Pedro Álvarez (minors)</t>
  </si>
  <si>
    <t>Eric Hosmer (minors)</t>
  </si>
  <si>
    <t>Brian Matusz (minors)</t>
  </si>
  <si>
    <t>Buster Posey (minors)</t>
  </si>
  <si>
    <t>Kyle Skipworth (minors)</t>
  </si>
  <si>
    <t>Yonder Alonso (minors)</t>
  </si>
  <si>
    <t>Gordon Beckham (minors)</t>
  </si>
  <si>
    <t>Jason Castro (minors)</t>
  </si>
  <si>
    <t>Justin Smoak (minors)</t>
  </si>
  <si>
    <t>Jemile Weeks (minors)</t>
  </si>
  <si>
    <t>Brett Wallace (minors)</t>
  </si>
  <si>
    <t>Aaron Hicks (minors)</t>
  </si>
  <si>
    <t>Ethan Martin (minors)</t>
  </si>
  <si>
    <t>Brett Lawrie (minors)</t>
  </si>
  <si>
    <t>David Cooper (minors)</t>
  </si>
  <si>
    <t>Mets via Braves</t>
  </si>
  <si>
    <t>*Ike Davis (minors)</t>
  </si>
  <si>
    <t>Andrew Cashner (minors)</t>
  </si>
  <si>
    <t>Josh Fields (minors)</t>
  </si>
  <si>
    <t>Ryan Perry (minors)</t>
  </si>
  <si>
    <t>Reese Havens (minors)</t>
  </si>
  <si>
    <t>Allan Dykstra (minors)</t>
  </si>
  <si>
    <t>Anthony Hewitt (minors)</t>
  </si>
  <si>
    <t>Christian Friedrich (minors)</t>
  </si>
  <si>
    <t>Daniel Schlereth (minors)</t>
  </si>
  <si>
    <t>Twins via Angels</t>
  </si>
  <si>
    <t>*Carlos Gutierrez (minors)</t>
  </si>
  <si>
    <t>Lonnie Chisenhall (minors)</t>
  </si>
  <si>
    <t>Casey Kelly (minors)</t>
  </si>
  <si>
    <t>*Shooter Hunt (minors)</t>
  </si>
  <si>
    <t>*Jake Odorizzi (minors)</t>
  </si>
  <si>
    <t>Bradley Holt (minors)</t>
  </si>
  <si>
    <t>*Zach Collier (minors)</t>
  </si>
  <si>
    <t>*Evan Frederickson (minors)</t>
  </si>
  <si>
    <t>Mike Montgomery (minors)</t>
  </si>
  <si>
    <t>*Conor Gillaspie (minors)</t>
  </si>
  <si>
    <t>*Jordan Lyles (minors)</t>
  </si>
  <si>
    <t>*Lance Lynn (minors)</t>
  </si>
  <si>
    <t>*Brett DeVall (minors)</t>
  </si>
  <si>
    <t>*Ryan Flaherty (minors)</t>
  </si>
  <si>
    <t>Jaff Decker (minors)</t>
  </si>
  <si>
    <t>*Wade Miley (minors)</t>
  </si>
  <si>
    <t>*Jeremy Bleich (minors)</t>
  </si>
  <si>
    <t>*Bryan Price (minors)</t>
  </si>
  <si>
    <t>*Logan Forsythe (minors)</t>
  </si>
  <si>
    <t>Devil Rays</t>
  </si>
  <si>
    <t>David Price (minors)</t>
  </si>
  <si>
    <t>Mike Moustakas (minors)</t>
  </si>
  <si>
    <t>Josh Vitters (minors)</t>
  </si>
  <si>
    <t>Daniel Moskos (minors)</t>
  </si>
  <si>
    <t>Matt Wieters (minors)</t>
  </si>
  <si>
    <t>Ross Detwiler (minors)</t>
  </si>
  <si>
    <t>Matt LaPorta (minors)</t>
  </si>
  <si>
    <t>Casey Weathers (minors)</t>
  </si>
  <si>
    <t>Jarrod Parker (minors)</t>
  </si>
  <si>
    <t>Madison Bumgarner (minors)</t>
  </si>
  <si>
    <t>Phillippe Aumont (minors)</t>
  </si>
  <si>
    <t>Matt Dominguez (minors)</t>
  </si>
  <si>
    <t>Beau Mills (minors)</t>
  </si>
  <si>
    <t>Jason Heyward (minors)</t>
  </si>
  <si>
    <t>Devin Mesoraco (minors)</t>
  </si>
  <si>
    <t>Blue Jays via Rangers</t>
  </si>
  <si>
    <t>*Kevin Ahrens (minors)</t>
  </si>
  <si>
    <t>Rangers via Astros</t>
  </si>
  <si>
    <t>*Blake Beavan (minors)</t>
  </si>
  <si>
    <t>Pete Kozma (minors)</t>
  </si>
  <si>
    <t>Joe Savery (minors)</t>
  </si>
  <si>
    <t>Dodgers via Red Sox</t>
  </si>
  <si>
    <t>*Chris Withrow (minors)</t>
  </si>
  <si>
    <t>J.P. Arencibia (minors)</t>
  </si>
  <si>
    <t>Giants via Dodgers</t>
  </si>
  <si>
    <t>*Tim Alderson (minors)</t>
  </si>
  <si>
    <t>Nick Schmidt (minors)</t>
  </si>
  <si>
    <t>*Michael Main (minors)</t>
  </si>
  <si>
    <t>Aaron Poreda (minors)</t>
  </si>
  <si>
    <t>James Simmons (minors)</t>
  </si>
  <si>
    <t>Rick Porcello (minors)</t>
  </si>
  <si>
    <t>Ben Revere (minors)</t>
  </si>
  <si>
    <t>Giants via Mets</t>
  </si>
  <si>
    <t>*Wendell Fairley (minors)</t>
  </si>
  <si>
    <t>Andrew Brackman (minors)</t>
  </si>
  <si>
    <t>*Josh Smoker (minors)</t>
  </si>
  <si>
    <t>*Nick Noonan (minors)</t>
  </si>
  <si>
    <t>*Jon Gilmore (minors)</t>
  </si>
  <si>
    <t>*Todd Frazier (minors)</t>
  </si>
  <si>
    <t>*Julio Borbon (minors)</t>
  </si>
  <si>
    <t>*Clayton Mortensen (minors)</t>
  </si>
  <si>
    <t>*Travis d'Arnaud (minors)</t>
  </si>
  <si>
    <t>*Brett Cecil (minors)</t>
  </si>
  <si>
    <t>*James Adkins (minors)</t>
  </si>
  <si>
    <t>*Kellen Kulbacki (minors)</t>
  </si>
  <si>
    <t>*Sean Doolittle (minors)</t>
  </si>
  <si>
    <t>*Eddie Kunz (minors)</t>
  </si>
  <si>
    <t>*Jackson Williams (minors)</t>
  </si>
  <si>
    <t>*Neil Ramírez (minors)</t>
  </si>
  <si>
    <t>*Justin Jackson (minors)</t>
  </si>
  <si>
    <t>*Drew Cumberland (minors)</t>
  </si>
  <si>
    <t>*Nathan Vineyard (minors)</t>
  </si>
  <si>
    <t>*Josh Donaldson (minors)</t>
  </si>
  <si>
    <t>*Michael Burgess (minors)</t>
  </si>
  <si>
    <t>*Wes Roemer (minors)</t>
  </si>
  <si>
    <t>Luke Hochevar (minors)</t>
  </si>
  <si>
    <t>Greg Reynolds (minors)</t>
  </si>
  <si>
    <t>Evan Longoria (minors)</t>
  </si>
  <si>
    <t>Brad Lincoln (minors)</t>
  </si>
  <si>
    <t>Brandon Morrow (minors)</t>
  </si>
  <si>
    <t>Andrew Miller (minors)</t>
  </si>
  <si>
    <t>Clayton Kershaw (minors)</t>
  </si>
  <si>
    <t>Drew Stubbs (minors)</t>
  </si>
  <si>
    <t>Billy Rowell (minors)</t>
  </si>
  <si>
    <t>Tim Lincecum (minors)</t>
  </si>
  <si>
    <t>Max Scherzer (minors)</t>
  </si>
  <si>
    <t>Kasey Kiker (minors)</t>
  </si>
  <si>
    <t>Tyler Colvin (minors)</t>
  </si>
  <si>
    <t>Travis Snider (minors)</t>
  </si>
  <si>
    <t>Chris Marrero (minors)</t>
  </si>
  <si>
    <t>Jeremy Jeffress (minors)</t>
  </si>
  <si>
    <t>Matt Antonelli (minors)</t>
  </si>
  <si>
    <t>Phillies via Mets</t>
  </si>
  <si>
    <t>*Kyle Drabek (minors)</t>
  </si>
  <si>
    <t>Brett Sinkbeil (minors)</t>
  </si>
  <si>
    <t>Chris Parmelee (minors)</t>
  </si>
  <si>
    <t>Yankees via Phillies</t>
  </si>
  <si>
    <t>*Ian Kennedy (minors)</t>
  </si>
  <si>
    <t>Nationals via Athletics</t>
  </si>
  <si>
    <t>*Colton Willems (minors)</t>
  </si>
  <si>
    <t>Maxwell Sapp (minors)</t>
  </si>
  <si>
    <t>Cody Johnson (minors)</t>
  </si>
  <si>
    <t>Angels via Indians</t>
  </si>
  <si>
    <t>*Hank Conger (minors)</t>
  </si>
  <si>
    <t>Dodgers via Angels</t>
  </si>
  <si>
    <t>*Bryan Morris (minors)</t>
  </si>
  <si>
    <t>Jason Place (minors)</t>
  </si>
  <si>
    <t>Red Sox via Yankees</t>
  </si>
  <si>
    <t>*Daniel Bard (minors)</t>
  </si>
  <si>
    <t>Kyle McCulloch (minors)</t>
  </si>
  <si>
    <t>Adam Ottavino (minors)</t>
  </si>
  <si>
    <t>*Preston Mattingly (minors)</t>
  </si>
  <si>
    <t>*Pedro Beato (minors)</t>
  </si>
  <si>
    <t>*Emmanuel Burriss (minors)</t>
  </si>
  <si>
    <t>*Brooks Brown (minors)</t>
  </si>
  <si>
    <t>*Kyler Burke (minors)</t>
  </si>
  <si>
    <t>*Chris Coghlan (minors)</t>
  </si>
  <si>
    <t>*Adrian Cardenas (minors)</t>
  </si>
  <si>
    <t>*Cory Rasmus (minors)</t>
  </si>
  <si>
    <t>*David Huff (minors)</t>
  </si>
  <si>
    <t>*Kris Johnson (minors)</t>
  </si>
  <si>
    <t>*Joba Chamberlain (minors)</t>
  </si>
  <si>
    <t>*Chris Perez (minors)</t>
  </si>
  <si>
    <t>*Steve Evarts (minors)</t>
  </si>
  <si>
    <t>*Caleb Clay (minors)</t>
  </si>
  <si>
    <t>Justin Upton (minors)</t>
  </si>
  <si>
    <t>Alex Gordon (minors)</t>
  </si>
  <si>
    <t>Jeff Clement (minors)</t>
  </si>
  <si>
    <t>Ryan Zimmerman (minors)</t>
  </si>
  <si>
    <t>Ryan Braun (minors)</t>
  </si>
  <si>
    <t>Ricky Romero (minors)</t>
  </si>
  <si>
    <t>Troy Tulowitzki (minors)</t>
  </si>
  <si>
    <t>Wade Townsend (minors)</t>
  </si>
  <si>
    <t>Mike Pelfrey (minors)</t>
  </si>
  <si>
    <t>Cameron Maybin (minors)</t>
  </si>
  <si>
    <t>Andrew McCutchen (minors)</t>
  </si>
  <si>
    <t>Jay Bruce (minors)</t>
  </si>
  <si>
    <t>Brandon Snyder (minors)</t>
  </si>
  <si>
    <t>Trevor Crowe (minors)</t>
  </si>
  <si>
    <t>Lance Broadway (minors)</t>
  </si>
  <si>
    <t>Chris Volstad (minors)</t>
  </si>
  <si>
    <t>*C.J. Henry (minors)</t>
  </si>
  <si>
    <t>Cesar Carrillo (minors)</t>
  </si>
  <si>
    <t>John Mayberry (minors)</t>
  </si>
  <si>
    <t>Mark Pawelek (minors)</t>
  </si>
  <si>
    <t>Cliff Pennington (minors)</t>
  </si>
  <si>
    <t>Marlins via Giants</t>
  </si>
  <si>
    <t>*Aaron Thompson (minors)</t>
  </si>
  <si>
    <t>Red Sox via Angels</t>
  </si>
  <si>
    <t>*Jacoby Ellsbury (minors)</t>
  </si>
  <si>
    <t>Brian Bogusevic (minors)</t>
  </si>
  <si>
    <t>Matt Garza (minors)</t>
  </si>
  <si>
    <t>Red Sox via Dodgers</t>
  </si>
  <si>
    <t>*Craig Hansen (minors)</t>
  </si>
  <si>
    <t>Joey Devine (minors)</t>
  </si>
  <si>
    <t>Cardinals via Red Sox</t>
  </si>
  <si>
    <t>*Colby Rasmus (minors)</t>
  </si>
  <si>
    <t>Marlins via Yankees</t>
  </si>
  <si>
    <t>*Jacob Marceaux (minors)</t>
  </si>
  <si>
    <t>Tyler Greene (minors)</t>
  </si>
  <si>
    <t>*Matt Torra (minors)</t>
  </si>
  <si>
    <t>*Chaz Roe (minors)</t>
  </si>
  <si>
    <t>*Johnny Drennen (minors)</t>
  </si>
  <si>
    <t>*Ryan Tucker (minors)</t>
  </si>
  <si>
    <t>*Cesár Ramos (minors)</t>
  </si>
  <si>
    <t>*Travis Buck (minors)</t>
  </si>
  <si>
    <t>*Trevor Bell (minors)</t>
  </si>
  <si>
    <t>*Eli Iorg (minors)</t>
  </si>
  <si>
    <t>*Hank Sanchez (minors)</t>
  </si>
  <si>
    <t>*Luke Hochevar (minors)</t>
  </si>
  <si>
    <t>*Beau Jones (minors)</t>
  </si>
  <si>
    <t>*Clay Buchholz (minors)</t>
  </si>
  <si>
    <t>*Mark McCormick (minors)</t>
  </si>
  <si>
    <t>*Sean West (minors)</t>
  </si>
  <si>
    <t>*Jed Lowrie (minors)</t>
  </si>
  <si>
    <t>*Tyler Herron (minors)</t>
  </si>
  <si>
    <t>*Michael Bowden (minors)</t>
  </si>
  <si>
    <t>*Garrett Olson (minors)</t>
  </si>
  <si>
    <t>Matt Bush (minors)</t>
  </si>
  <si>
    <t>Justin Verlander (minors)</t>
  </si>
  <si>
    <t>Philip Humber (minors)</t>
  </si>
  <si>
    <t>Jeff Niemann (minors)</t>
  </si>
  <si>
    <t>Mark Rogers (minors)</t>
  </si>
  <si>
    <t>Jeremy Sowers (minors)</t>
  </si>
  <si>
    <t>Homer Bailey (minors)</t>
  </si>
  <si>
    <t>Chris Nelson (minors)</t>
  </si>
  <si>
    <t>Thomas Diamond (minors)</t>
  </si>
  <si>
    <t>Neil Walker (minors)</t>
  </si>
  <si>
    <t>Jered Weaver (minors)</t>
  </si>
  <si>
    <t>Expos</t>
  </si>
  <si>
    <t>Bill Bray (minors)</t>
  </si>
  <si>
    <t>Billy Butler (minors)</t>
  </si>
  <si>
    <t>Stephen Drew (minors)</t>
  </si>
  <si>
    <t>David Purcey (minors)</t>
  </si>
  <si>
    <t>Scott Elbert (minors)</t>
  </si>
  <si>
    <t>Chris Lambert (minors)</t>
  </si>
  <si>
    <t>Trevor Plouffe (minors)</t>
  </si>
  <si>
    <t>Greg Golson (minors)</t>
  </si>
  <si>
    <t>Twins via Mariners</t>
  </si>
  <si>
    <t>*Glen Perkins (minors)</t>
  </si>
  <si>
    <t>Yankees via Astros</t>
  </si>
  <si>
    <t>*Phil Hughes (minors)</t>
  </si>
  <si>
    <t>Athletics via Red Sox</t>
  </si>
  <si>
    <t>*Landon Powell (minors)</t>
  </si>
  <si>
    <t>Twins via Cubs</t>
  </si>
  <si>
    <t>*Kyle Waldrop (minors)</t>
  </si>
  <si>
    <t>Richie Robnett (minors)</t>
  </si>
  <si>
    <t>Taylor Tankersley (minors)</t>
  </si>
  <si>
    <t>Dodgers via Yankees</t>
  </si>
  <si>
    <t>*Blake DeWitt (minors)</t>
  </si>
  <si>
    <t>Royals via Giants</t>
  </si>
  <si>
    <t>*Matt Campbell (minors)</t>
  </si>
  <si>
    <t>lHP</t>
  </si>
  <si>
    <t>Rangers via Braves</t>
  </si>
  <si>
    <t>*Eric Hurley (minors)</t>
  </si>
  <si>
    <t>*J.P. Howell (minors)</t>
  </si>
  <si>
    <t>*Zach Jackson (minors)</t>
  </si>
  <si>
    <t>*Justin Orenduff (minors)</t>
  </si>
  <si>
    <t>*Tyler Lumsden (minors)</t>
  </si>
  <si>
    <t>*Matt Fox (minors)</t>
  </si>
  <si>
    <t>*Danny Putnam (minors)</t>
  </si>
  <si>
    <t>*Jon Poterson (minors)</t>
  </si>
  <si>
    <t>*Gio Gonzalez (minors)</t>
  </si>
  <si>
    <t>*Jay Rainville (minors)</t>
  </si>
  <si>
    <t>*Huston Street (minors)</t>
  </si>
  <si>
    <t>*Jeff Marquez (minors)</t>
  </si>
  <si>
    <t>Delmon Young (minors)</t>
  </si>
  <si>
    <t>Rickie Weeks (minors)</t>
  </si>
  <si>
    <t>Kyle Sleeth (minors)</t>
  </si>
  <si>
    <t>Tim Stauffer (minors)</t>
  </si>
  <si>
    <t>Chris Lubanski (minors)</t>
  </si>
  <si>
    <t>Ryan Harvey (minors)</t>
  </si>
  <si>
    <t>Nick Markakis (minors)</t>
  </si>
  <si>
    <t>Paul Maholm (minors)</t>
  </si>
  <si>
    <t>John Danks (minors)</t>
  </si>
  <si>
    <t>Ian Stewart (minors)</t>
  </si>
  <si>
    <t>Michael Aubrey (minors)</t>
  </si>
  <si>
    <t>Lastings Milledge (minors)</t>
  </si>
  <si>
    <t>Aaron Hill (minors)</t>
  </si>
  <si>
    <t>Ryan Wagner (minors)</t>
  </si>
  <si>
    <t>Brian Anderson (minors)</t>
  </si>
  <si>
    <t>Jeff Allison (minors)</t>
  </si>
  <si>
    <t>David Murphy (minors)</t>
  </si>
  <si>
    <t>Indians via Phillies</t>
  </si>
  <si>
    <t>*Brad Snyder (minors)</t>
  </si>
  <si>
    <t>Diamondbacks via Mariners</t>
  </si>
  <si>
    <t>*Conor Jackson (minors)</t>
  </si>
  <si>
    <t>Chad Cordero (minors)</t>
  </si>
  <si>
    <t>Matt Moses (minors)</t>
  </si>
  <si>
    <t>Giants via Astros</t>
  </si>
  <si>
    <t>*David Aardsma (minors)</t>
  </si>
  <si>
    <t>Brandon Wood (minors)</t>
  </si>
  <si>
    <t>Chad Billingsley (minors)</t>
  </si>
  <si>
    <t>Brad Sullivan (minors)</t>
  </si>
  <si>
    <t>Athletics via Giants</t>
  </si>
  <si>
    <t>*Brian Snyder (minors)</t>
  </si>
  <si>
    <t>Eric Duncan (minors)</t>
  </si>
  <si>
    <t>Daric Barton (minors)</t>
  </si>
  <si>
    <t>Carlos Quentin (minors)</t>
  </si>
  <si>
    <t>Royals via Braves</t>
  </si>
  <si>
    <t>*Mitch Maier (minors)</t>
  </si>
  <si>
    <t>*Adam Miller (minors)</t>
  </si>
  <si>
    <t>*Matt Murton (minors)</t>
  </si>
  <si>
    <t>*Omar Quintanilla (minors)</t>
  </si>
  <si>
    <t>*Craig Whitaker (minors)</t>
  </si>
  <si>
    <t>*Luis Atilano (minors)</t>
  </si>
  <si>
    <t>*Jarrod Saltalamacchia (minors)</t>
  </si>
  <si>
    <t>*Adam Jones (minors)</t>
  </si>
  <si>
    <t>Bryan Bullington (minors)</t>
  </si>
  <si>
    <t>B.J. Upton (minors)</t>
  </si>
  <si>
    <t>Chris Gruler (minors)</t>
  </si>
  <si>
    <t>Adam Loewen (minors)</t>
  </si>
  <si>
    <t>Clint Everts (minors)</t>
  </si>
  <si>
    <t>Zack Greinke (minors)</t>
  </si>
  <si>
    <t>Prince Fielder (minors)</t>
  </si>
  <si>
    <t>Scott Moore (minors)</t>
  </si>
  <si>
    <t>Jeff Francis (minors)</t>
  </si>
  <si>
    <t>Drew Meyer (minors)</t>
  </si>
  <si>
    <t>Jeremy Hermida (minors)</t>
  </si>
  <si>
    <t>Joe Saunders (minors)</t>
  </si>
  <si>
    <t>Khalil Greene (minors)</t>
  </si>
  <si>
    <t>Russ Adams (minors)</t>
  </si>
  <si>
    <t>Scott Kazmir (minors)</t>
  </si>
  <si>
    <t>*Nick Swisher (minors)</t>
  </si>
  <si>
    <t>Cole Hamels (minors)</t>
  </si>
  <si>
    <t>Royce Ring (minors)</t>
  </si>
  <si>
    <t>James Loney (minors)</t>
  </si>
  <si>
    <t>Denard Span (minors)</t>
  </si>
  <si>
    <t>Bobby Brownlie (minors)</t>
  </si>
  <si>
    <t>Jeremy Guthrie (minors)</t>
  </si>
  <si>
    <t>Jeff Francoeur (minors)</t>
  </si>
  <si>
    <t>Athletics via Yankees</t>
  </si>
  <si>
    <t>*Joe Blanton (minors)</t>
  </si>
  <si>
    <t>Matt Cain (minors)</t>
  </si>
  <si>
    <t>John McCurdy (minors)</t>
  </si>
  <si>
    <t>Sergio Santos (minors)</t>
  </si>
  <si>
    <t>Derick Grigsby (minors)</t>
  </si>
  <si>
    <t>Athletics via Cardinals</t>
  </si>
  <si>
    <t>*Ben Fritz (minors)</t>
  </si>
  <si>
    <t>*Greg Miller (minors)</t>
  </si>
  <si>
    <t>*Luke Hagerty (minors)</t>
  </si>
  <si>
    <t>*Matt Whitney (minors)</t>
  </si>
  <si>
    <t>*Dan Meyer (minors)</t>
  </si>
  <si>
    <t>*Jeremy Brown (minors)</t>
  </si>
  <si>
    <t>*Chadd Blasko (minors)</t>
  </si>
  <si>
    <t>*Steve Obenchain (minors)</t>
  </si>
  <si>
    <t>*Matt Clanton (minors)</t>
  </si>
  <si>
    <t>*Mark Teahen (minors)</t>
  </si>
  <si>
    <t>*Mark Schramek (minors)</t>
  </si>
  <si>
    <t>*Micah Schilling (minors)</t>
  </si>
  <si>
    <t>Joe Mauer (minors)</t>
  </si>
  <si>
    <t>Mark Prior (minors)</t>
  </si>
  <si>
    <t>Dewon Brazelton (minors)</t>
  </si>
  <si>
    <t>Gavin Floyd (minors)</t>
  </si>
  <si>
    <t>Mark Teixeira (minors)</t>
  </si>
  <si>
    <t>Josh Karp (minors)</t>
  </si>
  <si>
    <t>Chris Smith (minors)</t>
  </si>
  <si>
    <t>John Van Benschoten (minors)</t>
  </si>
  <si>
    <t>Colt Griffin (minors)</t>
  </si>
  <si>
    <t>Chris Burke (minors)</t>
  </si>
  <si>
    <t>Kenny Baugh (minors)</t>
  </si>
  <si>
    <t>Mike Jones (minors)</t>
  </si>
  <si>
    <t>Casey Kotchman (minors)</t>
  </si>
  <si>
    <t>Jake Gautreau (minors)</t>
  </si>
  <si>
    <t>Gabe Gross (minors)</t>
  </si>
  <si>
    <t>White Sox via Marlins</t>
  </si>
  <si>
    <t>*Kris Honel (minors)</t>
  </si>
  <si>
    <t>Indians via Red Sox</t>
  </si>
  <si>
    <t>*Dan Denham (minors)</t>
  </si>
  <si>
    <t>Mets via Rockies</t>
  </si>
  <si>
    <t>*Aaron Heilman (minors)</t>
  </si>
  <si>
    <t>Orioles via Yankees</t>
  </si>
  <si>
    <t>*Mike Fontenot (minors)</t>
  </si>
  <si>
    <t>Giants via Indians</t>
  </si>
  <si>
    <t>*Brad Hennessey (minors)</t>
  </si>
  <si>
    <t>Jason Bulger (minors)</t>
  </si>
  <si>
    <t>Yankees via Mariners</t>
  </si>
  <si>
    <t>*John-Ford Griffin (minors)</t>
  </si>
  <si>
    <t>Braves via Dodgers</t>
  </si>
  <si>
    <t>*Macay McBride (minors)</t>
  </si>
  <si>
    <t>Bobby Crosby (minors)</t>
  </si>
  <si>
    <t>Athletics via Mets</t>
  </si>
  <si>
    <t>*Jeremy Bonderman (minors)</t>
  </si>
  <si>
    <t>Indians via White Sox</t>
  </si>
  <si>
    <t>*Alan Horne (minors)</t>
  </si>
  <si>
    <t>Justin Pope (minors)</t>
  </si>
  <si>
    <t>Josh Burrus (minors)</t>
  </si>
  <si>
    <t>Noah Lowry (minors)</t>
  </si>
  <si>
    <t>*Bryan Bass (minors)</t>
  </si>
  <si>
    <t>*Michael Woods (minors)</t>
  </si>
  <si>
    <t>*Jeff Mathis (minors)</t>
  </si>
  <si>
    <t>*Bronson Sardinha (minors)</t>
  </si>
  <si>
    <t>*J.D. Martin (minors)</t>
  </si>
  <si>
    <t>*Michael Garciaparra (minors)</t>
  </si>
  <si>
    <t>*John Rheinecker (minors)</t>
  </si>
  <si>
    <t>*David Wright (minors)</t>
  </si>
  <si>
    <t>*Wyatt Allen (minors)</t>
  </si>
  <si>
    <t>*Richard Lewis (minors)</t>
  </si>
  <si>
    <t>*Todd Linden (minors)</t>
  </si>
  <si>
    <t>*Jon Skaggs (minors)</t>
  </si>
  <si>
    <t>*Mike Conroy (minors)</t>
  </si>
  <si>
    <t>*Jayson Nix (minors)</t>
  </si>
  <si>
    <t>High Level</t>
  </si>
  <si>
    <t>A-</t>
  </si>
  <si>
    <t>dnp</t>
  </si>
  <si>
    <t>A</t>
  </si>
  <si>
    <t>RK</t>
  </si>
  <si>
    <t>Rk</t>
  </si>
  <si>
    <t>Spencer Torkelson (minors)</t>
  </si>
  <si>
    <t>Heston Kjerstad (minors)</t>
  </si>
  <si>
    <t>Max Meyer (minors)</t>
  </si>
  <si>
    <t>Asa Lacy (minors)</t>
  </si>
  <si>
    <t>Austin Martin (minors)</t>
  </si>
  <si>
    <t>Emerson Hancock (minors)</t>
  </si>
  <si>
    <t>Nick Gonzales (minors)</t>
  </si>
  <si>
    <t>Robert Hassell III (minors)</t>
  </si>
  <si>
    <t>Zac Veen (minors)</t>
  </si>
  <si>
    <t>Reid Detmers (minors)</t>
  </si>
  <si>
    <t>Garrett Crochet (minors)</t>
  </si>
  <si>
    <t>Austin Hendrick (minors)</t>
  </si>
  <si>
    <t>Patrick Bailey (minors)</t>
  </si>
  <si>
    <t>Justin Foscue (minors)</t>
  </si>
  <si>
    <t>Mick Abel (minors)</t>
  </si>
  <si>
    <t>Ed Howard (minors)</t>
  </si>
  <si>
    <t>Nick Yorke (minors)</t>
  </si>
  <si>
    <t>Bryce Jarvis (minors)</t>
  </si>
  <si>
    <t>Pete Crow-Armstrong (minors)</t>
  </si>
  <si>
    <t>Garrett Mitchell (minors)</t>
  </si>
  <si>
    <t>Jordan Walker (minors)</t>
  </si>
  <si>
    <t>Cade Cavalli (minors)</t>
  </si>
  <si>
    <t>Carson Tucker (minors)</t>
  </si>
  <si>
    <t>Nick Bitsko (minors)</t>
  </si>
  <si>
    <t>Jared Shuster (minors)</t>
  </si>
  <si>
    <t>Tyler Soderstrom (minors)</t>
  </si>
  <si>
    <t>Aaron Sabato (minors)</t>
  </si>
  <si>
    <t>Austin Wells (minors)</t>
  </si>
  <si>
    <t>Bobby Miller (minors)</t>
  </si>
  <si>
    <t>Jordan Westburg (minors)</t>
  </si>
  <si>
    <t>Carmen Mlodzinski (minors)</t>
  </si>
  <si>
    <t>Nick Loftin (minors)</t>
  </si>
  <si>
    <t>Slade Cecconi (minors)</t>
  </si>
  <si>
    <t>Justin Lange (minors)</t>
  </si>
  <si>
    <t>Drew Romo (minors)</t>
  </si>
  <si>
    <t>Tanner Burns (minors)</t>
  </si>
  <si>
    <t>Alika Williams (minors)</t>
  </si>
  <si>
    <t>bullibr01</t>
  </si>
  <si>
    <t>uptonbj01</t>
  </si>
  <si>
    <t>loewead01</t>
  </si>
  <si>
    <t>greinza01</t>
  </si>
  <si>
    <t>fieldpr01</t>
  </si>
  <si>
    <t>mooresc02</t>
  </si>
  <si>
    <t>francje01</t>
  </si>
  <si>
    <t>meyerdr01</t>
  </si>
  <si>
    <t>hermije01</t>
  </si>
  <si>
    <t>saundjo01</t>
  </si>
  <si>
    <t>greenkh01</t>
  </si>
  <si>
    <t>adamsru01</t>
  </si>
  <si>
    <t>kazmisc01</t>
  </si>
  <si>
    <t>swishni01</t>
  </si>
  <si>
    <t>hamelco01</t>
  </si>
  <si>
    <t>ringro01</t>
  </si>
  <si>
    <t>loneyja01</t>
  </si>
  <si>
    <t>spande01</t>
  </si>
  <si>
    <t>guthrje01</t>
  </si>
  <si>
    <t>francje02</t>
  </si>
  <si>
    <t>blantjo01</t>
  </si>
  <si>
    <t>cainma01</t>
  </si>
  <si>
    <t>santose01</t>
  </si>
  <si>
    <t>maybejo02</t>
  </si>
  <si>
    <t>meyerda02</t>
  </si>
  <si>
    <t>brownje02</t>
  </si>
  <si>
    <t>teahema01</t>
  </si>
  <si>
    <t>ID</t>
  </si>
  <si>
    <t>mauerjo01</t>
  </si>
  <si>
    <t>priorma01</t>
  </si>
  <si>
    <t>brazede01</t>
  </si>
  <si>
    <t>floydga01</t>
  </si>
  <si>
    <t>teixema01</t>
  </si>
  <si>
    <t>vanbejo01</t>
  </si>
  <si>
    <t>burkech01</t>
  </si>
  <si>
    <t>kotchca01</t>
  </si>
  <si>
    <t>grossga01</t>
  </si>
  <si>
    <t>heilmaa01</t>
  </si>
  <si>
    <t>fontemi01</t>
  </si>
  <si>
    <t>sowerje01</t>
  </si>
  <si>
    <t>hennebr01</t>
  </si>
  <si>
    <t>bulgeja01</t>
  </si>
  <si>
    <t>griffjo01</t>
  </si>
  <si>
    <t>mcbrima01</t>
  </si>
  <si>
    <t>crosbbo01</t>
  </si>
  <si>
    <t>bondeje01</t>
  </si>
  <si>
    <t>lowryno01</t>
  </si>
  <si>
    <t>mathije01</t>
  </si>
  <si>
    <t>sardibr01</t>
  </si>
  <si>
    <t>martijd01</t>
  </si>
  <si>
    <t>rheinjo01</t>
  </si>
  <si>
    <t>wrighda03</t>
  </si>
  <si>
    <t>lindeto01</t>
  </si>
  <si>
    <t>nixja01</t>
  </si>
  <si>
    <t>youngde03</t>
  </si>
  <si>
    <t>weeksri01</t>
  </si>
  <si>
    <t>staufti01</t>
  </si>
  <si>
    <t>markani01</t>
  </si>
  <si>
    <t>maholpa01</t>
  </si>
  <si>
    <t>danksjo01</t>
  </si>
  <si>
    <t>stewaia01</t>
  </si>
  <si>
    <t>aubremi01</t>
  </si>
  <si>
    <t>millela02</t>
  </si>
  <si>
    <t>hillaa01</t>
  </si>
  <si>
    <t>wagnery01</t>
  </si>
  <si>
    <t>anderbr03</t>
  </si>
  <si>
    <t>murphda07</t>
  </si>
  <si>
    <t>snydebr02</t>
  </si>
  <si>
    <t>jacksco01</t>
  </si>
  <si>
    <t>cordech01</t>
  </si>
  <si>
    <t>aardsda01</t>
  </si>
  <si>
    <t>woodbr01</t>
  </si>
  <si>
    <t>billich01</t>
  </si>
  <si>
    <t>bartoda02</t>
  </si>
  <si>
    <t>quentca01</t>
  </si>
  <si>
    <t>maiermi01</t>
  </si>
  <si>
    <t>murtoma01</t>
  </si>
  <si>
    <t>quintom01</t>
  </si>
  <si>
    <t>atilalu01</t>
  </si>
  <si>
    <t>saltaja01</t>
  </si>
  <si>
    <t>jonesad01</t>
  </si>
  <si>
    <t>bushma01</t>
  </si>
  <si>
    <t>verlaju01</t>
  </si>
  <si>
    <t>humbeph01</t>
  </si>
  <si>
    <t>niemaje01</t>
  </si>
  <si>
    <t>rogerma01</t>
  </si>
  <si>
    <t>baileho02</t>
  </si>
  <si>
    <t>nelsoch01</t>
  </si>
  <si>
    <t>diamoth01</t>
  </si>
  <si>
    <t>walkene01</t>
  </si>
  <si>
    <t>weaveje02</t>
  </si>
  <si>
    <t>braybi01</t>
  </si>
  <si>
    <t>butlebi03</t>
  </si>
  <si>
    <t>drewst01</t>
  </si>
  <si>
    <t>purceda01</t>
  </si>
  <si>
    <t>elbersc01</t>
  </si>
  <si>
    <t>fieldjo02</t>
  </si>
  <si>
    <t>lambech01</t>
  </si>
  <si>
    <t>plouftr01</t>
  </si>
  <si>
    <t>golsogr01</t>
  </si>
  <si>
    <t>perkigl01</t>
  </si>
  <si>
    <t>hugheph01</t>
  </si>
  <si>
    <t>powella01</t>
  </si>
  <si>
    <t>waldrky01</t>
  </si>
  <si>
    <t>tanketa01</t>
  </si>
  <si>
    <t>dewitbl01</t>
  </si>
  <si>
    <t>hurleer01</t>
  </si>
  <si>
    <t>howeljp01</t>
  </si>
  <si>
    <t>jacksza01</t>
  </si>
  <si>
    <t>foxma01</t>
  </si>
  <si>
    <t>putnada01</t>
  </si>
  <si>
    <t>gonzagi01</t>
  </si>
  <si>
    <t>streehu01</t>
  </si>
  <si>
    <t>marquje01</t>
  </si>
  <si>
    <t>uptonju01</t>
  </si>
  <si>
    <t>gordoal01</t>
  </si>
  <si>
    <t>clemeje01</t>
  </si>
  <si>
    <t>zimmery01</t>
  </si>
  <si>
    <t>braunry02</t>
  </si>
  <si>
    <t>romerri01</t>
  </si>
  <si>
    <t>tulowtr01</t>
  </si>
  <si>
    <t>pelfrmi01</t>
  </si>
  <si>
    <t>maybica01</t>
  </si>
  <si>
    <t>mccutan01</t>
  </si>
  <si>
    <t>bruceja01</t>
  </si>
  <si>
    <t>snydebr03</t>
  </si>
  <si>
    <t>crowetr01</t>
  </si>
  <si>
    <t>broadla01</t>
  </si>
  <si>
    <t>volstch01</t>
  </si>
  <si>
    <t>carrice01</t>
  </si>
  <si>
    <t>pennicl01</t>
  </si>
  <si>
    <t>thompaa01</t>
  </si>
  <si>
    <t>ellsbja01</t>
  </si>
  <si>
    <t>bogusbr01</t>
  </si>
  <si>
    <t>garzama01</t>
  </si>
  <si>
    <t>hansecr01</t>
  </si>
  <si>
    <t>devinjo01</t>
  </si>
  <si>
    <t>rasmuco01</t>
  </si>
  <si>
    <t>greenty02</t>
  </si>
  <si>
    <t>roech01</t>
  </si>
  <si>
    <t>tuckery01</t>
  </si>
  <si>
    <t>ramosce01</t>
  </si>
  <si>
    <t>bucktr01</t>
  </si>
  <si>
    <t>belltr01</t>
  </si>
  <si>
    <t>hochelu01</t>
  </si>
  <si>
    <t>buchhcl01</t>
  </si>
  <si>
    <t>westse01</t>
  </si>
  <si>
    <t>lowrije01</t>
  </si>
  <si>
    <t>bowdemi01</t>
  </si>
  <si>
    <t>olsonga01</t>
  </si>
  <si>
    <t>reynogr01</t>
  </si>
  <si>
    <t>longoev01</t>
  </si>
  <si>
    <t>lincobr01</t>
  </si>
  <si>
    <t>morrobr01</t>
  </si>
  <si>
    <t>millean01</t>
  </si>
  <si>
    <t>kershcl01</t>
  </si>
  <si>
    <t>stubbdr01</t>
  </si>
  <si>
    <t>linceti01</t>
  </si>
  <si>
    <t>scherma01</t>
  </si>
  <si>
    <t>colvity01</t>
  </si>
  <si>
    <t>snidetr01</t>
  </si>
  <si>
    <t>marrech01</t>
  </si>
  <si>
    <t>jeffrje01</t>
  </si>
  <si>
    <t>antonma01</t>
  </si>
  <si>
    <t>drabeky01</t>
  </si>
  <si>
    <t>sinkbbr01</t>
  </si>
  <si>
    <t>parmech01</t>
  </si>
  <si>
    <t>kenneia01</t>
  </si>
  <si>
    <t>congeha01</t>
  </si>
  <si>
    <t>morribr01</t>
  </si>
  <si>
    <t>bardda01</t>
  </si>
  <si>
    <t>ottavad01</t>
  </si>
  <si>
    <t>beatope01</t>
  </si>
  <si>
    <t>burriem01</t>
  </si>
  <si>
    <t>brownbr02</t>
  </si>
  <si>
    <t>coghlch01</t>
  </si>
  <si>
    <t>cardead01</t>
  </si>
  <si>
    <t>rasmuco02</t>
  </si>
  <si>
    <t>huffda01</t>
  </si>
  <si>
    <t>johnskr01</t>
  </si>
  <si>
    <t>chambjo03</t>
  </si>
  <si>
    <t>perezch01</t>
  </si>
  <si>
    <t>priceda01</t>
  </si>
  <si>
    <t>moustmi01</t>
  </si>
  <si>
    <t>vittejo01</t>
  </si>
  <si>
    <t>moskoda01</t>
  </si>
  <si>
    <t>wietema01</t>
  </si>
  <si>
    <t>detwiro01</t>
  </si>
  <si>
    <t>laporma01</t>
  </si>
  <si>
    <t>parkeja02</t>
  </si>
  <si>
    <t>bumgama01</t>
  </si>
  <si>
    <t>aumonph01</t>
  </si>
  <si>
    <t>dominma01</t>
  </si>
  <si>
    <t>heywaja01</t>
  </si>
  <si>
    <t>mesorde01</t>
  </si>
  <si>
    <t>beavabl01</t>
  </si>
  <si>
    <t>kozmape01</t>
  </si>
  <si>
    <t>saverjo01</t>
  </si>
  <si>
    <t>withrch01</t>
  </si>
  <si>
    <t>arencjp01</t>
  </si>
  <si>
    <t>poredaa01</t>
  </si>
  <si>
    <t>porceri01</t>
  </si>
  <si>
    <t>reverbe01</t>
  </si>
  <si>
    <t>brackan01</t>
  </si>
  <si>
    <t>smokejo01</t>
  </si>
  <si>
    <t>noonani01</t>
  </si>
  <si>
    <t>frazito01</t>
  </si>
  <si>
    <t>borboju01</t>
  </si>
  <si>
    <t>mortecl01</t>
  </si>
  <si>
    <t>darnatr01</t>
  </si>
  <si>
    <t>cecilbr01</t>
  </si>
  <si>
    <t>doolise01</t>
  </si>
  <si>
    <t>kunzed01</t>
  </si>
  <si>
    <t>willija01</t>
  </si>
  <si>
    <t>ramirne01</t>
  </si>
  <si>
    <t>donaljo02</t>
  </si>
  <si>
    <t>beckhti01</t>
  </si>
  <si>
    <t>alvarpe01</t>
  </si>
  <si>
    <t>hosmeer01</t>
  </si>
  <si>
    <t>matusbr01</t>
  </si>
  <si>
    <t>poseybu01</t>
  </si>
  <si>
    <t>skipwky01</t>
  </si>
  <si>
    <t>alonsyo01</t>
  </si>
  <si>
    <t>beckhgo01</t>
  </si>
  <si>
    <t>crowaa01</t>
  </si>
  <si>
    <t>castrja01</t>
  </si>
  <si>
    <t>smoakju01</t>
  </si>
  <si>
    <t>weeksje01</t>
  </si>
  <si>
    <t>wallabr01</t>
  </si>
  <si>
    <t>hicksaa01</t>
  </si>
  <si>
    <t>martiet01</t>
  </si>
  <si>
    <t>lawribr01</t>
  </si>
  <si>
    <t>coopeda01</t>
  </si>
  <si>
    <t>davisik02</t>
  </si>
  <si>
    <t>cashnan01</t>
  </si>
  <si>
    <t>fieldjo03</t>
  </si>
  <si>
    <t>perryry01</t>
  </si>
  <si>
    <t>dykstal01</t>
  </si>
  <si>
    <t>friedch01</t>
  </si>
  <si>
    <t>schleda01</t>
  </si>
  <si>
    <t>colege01</t>
  </si>
  <si>
    <t>chiselo01</t>
  </si>
  <si>
    <t>kellyca01</t>
  </si>
  <si>
    <t>odorija01</t>
  </si>
  <si>
    <t>montgmi01</t>
  </si>
  <si>
    <t>gillaco01</t>
  </si>
  <si>
    <t>lylesjo01</t>
  </si>
  <si>
    <t>lynnla01</t>
  </si>
  <si>
    <t>flahery01</t>
  </si>
  <si>
    <t>deckeja01</t>
  </si>
  <si>
    <t>mileywa01</t>
  </si>
  <si>
    <t>bleicje01</t>
  </si>
  <si>
    <t>pricebr10</t>
  </si>
  <si>
    <t>forsylo01</t>
  </si>
  <si>
    <t>strasst01</t>
  </si>
  <si>
    <t>ackledu01</t>
  </si>
  <si>
    <t>sanchto01</t>
  </si>
  <si>
    <t>wheelza01</t>
  </si>
  <si>
    <t>minormi01</t>
  </si>
  <si>
    <t>leakemi01</t>
  </si>
  <si>
    <t>turneja01</t>
  </si>
  <si>
    <t>storedr01</t>
  </si>
  <si>
    <t>matzety01</t>
  </si>
  <si>
    <t>greengr01</t>
  </si>
  <si>
    <t>purkema01</t>
  </si>
  <si>
    <t>whiteal01</t>
  </si>
  <si>
    <t>polloaj01</t>
  </si>
  <si>
    <t>millesh01</t>
  </si>
  <si>
    <t>jenkich01</t>
  </si>
  <si>
    <t>gibsoky01</t>
  </si>
  <si>
    <t>grichra01</t>
  </si>
  <si>
    <t>troutmi01</t>
  </si>
  <si>
    <t>frankni01</t>
  </si>
  <si>
    <t>fuentre01</t>
  </si>
  <si>
    <t>heathsl01</t>
  </si>
  <si>
    <t>jacksbr01</t>
  </si>
  <si>
    <t>baronst01</t>
  </si>
  <si>
    <t>brothre01</t>
  </si>
  <si>
    <t>davidma02</t>
  </si>
  <si>
    <t>paxtoja01</t>
  </si>
  <si>
    <t>phegljo01</t>
  </si>
  <si>
    <t>skaggty01</t>
  </si>
  <si>
    <t>owingch01</t>
  </si>
  <si>
    <t>richaga01</t>
  </si>
  <si>
    <t>boxbebr01</t>
  </si>
  <si>
    <t>schepta01</t>
  </si>
  <si>
    <t>belfimi01</t>
  </si>
  <si>
    <t>blackvi01</t>
  </si>
  <si>
    <t>harpebr03</t>
  </si>
  <si>
    <t>taillja01</t>
  </si>
  <si>
    <t>machama01</t>
  </si>
  <si>
    <t>colonch01</t>
  </si>
  <si>
    <t>pomerdr01</t>
  </si>
  <si>
    <t>harvema01</t>
  </si>
  <si>
    <t>deshide02</t>
  </si>
  <si>
    <t>choicmi01</t>
  </si>
  <si>
    <t>mcguide02</t>
  </si>
  <si>
    <t>grandya01</t>
  </si>
  <si>
    <t>salech01</t>
  </si>
  <si>
    <t>coveydy01</t>
  </si>
  <si>
    <t>cowarka01</t>
  </si>
  <si>
    <t>foltymi01</t>
  </si>
  <si>
    <t>wimmeal01</t>
  </si>
  <si>
    <t>yelicch01</t>
  </si>
  <si>
    <t>brownga02</t>
  </si>
  <si>
    <t>parkeky01</t>
  </si>
  <si>
    <t>biddlje01</t>
  </si>
  <si>
    <t>leeza01</t>
  </si>
  <si>
    <t>bedroca01</t>
  </si>
  <si>
    <t>sanchaa01</t>
  </si>
  <si>
    <t>brentbr01</t>
  </si>
  <si>
    <t>syndeno01</t>
  </si>
  <si>
    <t>ranauan01</t>
  </si>
  <si>
    <t>wojcias01</t>
  </si>
  <si>
    <t>walketa01</t>
  </si>
  <si>
    <t>casteni01</t>
  </si>
  <si>
    <t>jackslu01</t>
  </si>
  <si>
    <t>ruffich01</t>
  </si>
  <si>
    <t>oltmi01</t>
  </si>
  <si>
    <t>jenkity01</t>
  </si>
  <si>
    <t>hultzda01</t>
  </si>
  <si>
    <t>bauertr01</t>
  </si>
  <si>
    <t>bundydy01</t>
  </si>
  <si>
    <t>starlbu01</t>
  </si>
  <si>
    <t>rendoan01</t>
  </si>
  <si>
    <t>bradlar01</t>
  </si>
  <si>
    <t>lindofr01</t>
  </si>
  <si>
    <t>baezja01</t>
  </si>
  <si>
    <t>spangco01</t>
  </si>
  <si>
    <t>springe01</t>
  </si>
  <si>
    <t>jungmta01</t>
  </si>
  <si>
    <t>nimmobr01</t>
  </si>
  <si>
    <t>fernajo02</t>
  </si>
  <si>
    <t>bradlje01</t>
  </si>
  <si>
    <t>reedch01</t>
  </si>
  <si>
    <t>croncj01</t>
  </si>
  <si>
    <t>grayso01</t>
  </si>
  <si>
    <t>barnema01</t>
  </si>
  <si>
    <t>anderty01</t>
  </si>
  <si>
    <t>beedety01</t>
  </si>
  <si>
    <t>wongko01</t>
  </si>
  <si>
    <t>meyeral01</t>
  </si>
  <si>
    <t>guerrta02</t>
  </si>
  <si>
    <t>rossjo01</t>
  </si>
  <si>
    <t>swihabl01</t>
  </si>
  <si>
    <t>stephro01</t>
  </si>
  <si>
    <t>gilmase01</t>
  </si>
  <si>
    <t>panikjo01</t>
  </si>
  <si>
    <t>mahtomi01</t>
  </si>
  <si>
    <t>hagerja01</t>
  </si>
  <si>
    <t>goodwbr01</t>
  </si>
  <si>
    <t>owenshe02</t>
  </si>
  <si>
    <t>bradlja02</t>
  </si>
  <si>
    <t>goeddty01</t>
  </si>
  <si>
    <t>chafian01</t>
  </si>
  <si>
    <t>fulmemi01</t>
  </si>
  <si>
    <t>storytr01</t>
  </si>
  <si>
    <t>musgrjo01</t>
  </si>
  <si>
    <t>kellymi03</t>
  </si>
  <si>
    <t>crickky01</t>
  </si>
  <si>
    <t>snellbl01</t>
  </si>
  <si>
    <t>smithdw02</t>
  </si>
  <si>
    <t>peterja01</t>
  </si>
  <si>
    <t>correca01</t>
  </si>
  <si>
    <t>buxtoby01</t>
  </si>
  <si>
    <t>zuninmi01</t>
  </si>
  <si>
    <t>gausmke01</t>
  </si>
  <si>
    <t>zimmeky01</t>
  </si>
  <si>
    <t>almoral01</t>
  </si>
  <si>
    <t>friedma01</t>
  </si>
  <si>
    <t>appelma01</t>
  </si>
  <si>
    <t>heanean01</t>
  </si>
  <si>
    <t>dahlda01</t>
  </si>
  <si>
    <t>russead02</t>
  </si>
  <si>
    <t>cecchga02</t>
  </si>
  <si>
    <t>naquity01</t>
  </si>
  <si>
    <t>giolilu01</t>
  </si>
  <si>
    <t>seageco01</t>
  </si>
  <si>
    <t>wachami01</t>
  </si>
  <si>
    <t>stratch01</t>
  </si>
  <si>
    <t>simslu01</t>
  </si>
  <si>
    <t>stromma01</t>
  </si>
  <si>
    <t>marrede01</t>
  </si>
  <si>
    <t>shaffri01</t>
  </si>
  <si>
    <t>brinsle01</t>
  </si>
  <si>
    <t>johnsbr02</t>
  </si>
  <si>
    <t>berrijo01</t>
  </si>
  <si>
    <t>eflinza01</t>
  </si>
  <si>
    <t>roberda10</t>
  </si>
  <si>
    <t>plaweke01</t>
  </si>
  <si>
    <t>piscost01</t>
  </si>
  <si>
    <t>lightpa01</t>
  </si>
  <si>
    <t>hanigmi01</t>
  </si>
  <si>
    <t>gallojo01</t>
  </si>
  <si>
    <t>mcculla02</t>
  </si>
  <si>
    <t>bardlu01</t>
  </si>
  <si>
    <t>johnspi01</t>
  </si>
  <si>
    <t>jankotr01</t>
  </si>
  <si>
    <t>butleed01</t>
  </si>
  <si>
    <t>olsonma02</t>
  </si>
  <si>
    <t>winkeje01</t>
  </si>
  <si>
    <t>valenje01</t>
  </si>
  <si>
    <t>wisdopa01</t>
  </si>
  <si>
    <t>wilesco01</t>
  </si>
  <si>
    <t>blackpa01</t>
  </si>
  <si>
    <t>bryankr01</t>
  </si>
  <si>
    <t>grayjo02</t>
  </si>
  <si>
    <t>stewako01</t>
  </si>
  <si>
    <t>frazicl01</t>
  </si>
  <si>
    <t>moranco01</t>
  </si>
  <si>
    <t>doziehu01</t>
  </si>
  <si>
    <t>meadoau01</t>
  </si>
  <si>
    <t>bickfph01</t>
  </si>
  <si>
    <t>smithdo02</t>
  </si>
  <si>
    <t>renfrhu01</t>
  </si>
  <si>
    <t>mcguire01</t>
  </si>
  <si>
    <t>shiplbr01</t>
  </si>
  <si>
    <t>crawfjp01</t>
  </si>
  <si>
    <t>anderti01</t>
  </si>
  <si>
    <t>gonzama02</t>
  </si>
  <si>
    <t>ciuffni01</t>
  </si>
  <si>
    <t>harvehu01</t>
  </si>
  <si>
    <t>gonzach01</t>
  </si>
  <si>
    <t>mckinbi01</t>
  </si>
  <si>
    <t>arroych01</t>
  </si>
  <si>
    <t>ervinph01</t>
  </si>
  <si>
    <t>kaminro01</t>
  </si>
  <si>
    <t>stanery01</t>
  </si>
  <si>
    <t>demertr01</t>
  </si>
  <si>
    <t>hurshja01</t>
  </si>
  <si>
    <t>judgeaa01</t>
  </si>
  <si>
    <t>manaese01</t>
  </si>
  <si>
    <t>krookma01</t>
  </si>
  <si>
    <t>blairaa01</t>
  </si>
  <si>
    <t>lorenmi01</t>
  </si>
  <si>
    <t>knebeco01</t>
  </si>
  <si>
    <t>rodonca01</t>
  </si>
  <si>
    <t>schwaky01</t>
  </si>
  <si>
    <t>gordoni01</t>
  </si>
  <si>
    <t>jacksal02</t>
  </si>
  <si>
    <t>nolaaa01</t>
  </si>
  <si>
    <t>freelky01</t>
  </si>
  <si>
    <t>hoffmje02</t>
  </si>
  <si>
    <t>confomi01</t>
  </si>
  <si>
    <t>turnetr01</t>
  </si>
  <si>
    <t>newcose01</t>
  </si>
  <si>
    <t>toussto01</t>
  </si>
  <si>
    <t>finnebr01</t>
  </si>
  <si>
    <t>feddeer01</t>
  </si>
  <si>
    <t>zimmebr01</t>
  </si>
  <si>
    <t>holmegr01</t>
  </si>
  <si>
    <t>hillde01</t>
  </si>
  <si>
    <t>tuckeco01</t>
  </si>
  <si>
    <t>chapmma01</t>
  </si>
  <si>
    <t>chavimi01</t>
  </si>
  <si>
    <t>weavelu01</t>
  </si>
  <si>
    <t>grifffo01</t>
  </si>
  <si>
    <t>blandal01</t>
  </si>
  <si>
    <t>ortizlu02</t>
  </si>
  <si>
    <t>sheffju01</t>
  </si>
  <si>
    <t>kopecmi01</t>
  </si>
  <si>
    <t>flaheja01</t>
  </si>
  <si>
    <t>wallfo01</t>
  </si>
  <si>
    <t>fishede01</t>
  </si>
  <si>
    <t>joeco01</t>
  </si>
  <si>
    <t>swansda01</t>
  </si>
  <si>
    <t>bregmal01</t>
  </si>
  <si>
    <t>rodgebr02</t>
  </si>
  <si>
    <t>tatedi01</t>
  </si>
  <si>
    <t>tuckeky01</t>
  </si>
  <si>
    <t>jayty01</t>
  </si>
  <si>
    <t>beninan01</t>
  </si>
  <si>
    <t>fulmeca01</t>
  </si>
  <si>
    <t>happia01</t>
  </si>
  <si>
    <t>stephty01</t>
  </si>
  <si>
    <t>naylojo01</t>
  </si>
  <si>
    <t>allarko01</t>
  </si>
  <si>
    <t>grishtr01</t>
  </si>
  <si>
    <t>kaprija01</t>
  </si>
  <si>
    <t>newmake01</t>
  </si>
  <si>
    <t>martiri01</t>
  </si>
  <si>
    <t>burrobe01</t>
  </si>
  <si>
    <t>plummni01</t>
  </si>
  <si>
    <t>buehlwa01</t>
  </si>
  <si>
    <t>stewadj01</t>
  </si>
  <si>
    <t>wardta01</t>
  </si>
  <si>
    <t>sorokmi01</t>
  </si>
  <si>
    <t>shawch01</t>
  </si>
  <si>
    <t>hayeske01</t>
  </si>
  <si>
    <t>stewach02</t>
  </si>
  <si>
    <t>funkhky01</t>
  </si>
  <si>
    <t>mountry01</t>
  </si>
  <si>
    <t>camerda01</t>
  </si>
  <si>
    <t>nevinty01</t>
  </si>
  <si>
    <t>woodfja01</t>
  </si>
  <si>
    <t>rileyau01</t>
  </si>
  <si>
    <t>mckentr01</t>
  </si>
  <si>
    <t>moniami01</t>
  </si>
  <si>
    <t>senzeni01</t>
  </si>
  <si>
    <t>anderia01</t>
  </si>
  <si>
    <t>pintri01</t>
  </si>
  <si>
    <t>rayco01</t>
  </si>
  <si>
    <t>pukaj01</t>
  </si>
  <si>
    <t>garrebr01</t>
  </si>
  <si>
    <t>quantca01</t>
  </si>
  <si>
    <t>mannima02</t>
  </si>
  <si>
    <t>colliza01</t>
  </si>
  <si>
    <t>lewisky01</t>
  </si>
  <si>
    <t>lowejo01</t>
  </si>
  <si>
    <t>bensowi01</t>
  </si>
  <si>
    <t>kirilal01</t>
  </si>
  <si>
    <t>thaisma01</t>
  </si>
  <si>
    <t>whitlfo01</t>
  </si>
  <si>
    <t>ruthebl01</t>
  </si>
  <si>
    <t>dunnju01</t>
  </si>
  <si>
    <t>luxga01</t>
  </si>
  <si>
    <t>zeuchtj01</t>
  </si>
  <si>
    <t>craigwi01</t>
  </si>
  <si>
    <t>lauerer01</t>
  </si>
  <si>
    <t>burdiza01</t>
  </si>
  <si>
    <t>sedloco01</t>
  </si>
  <si>
    <t>kieboca01</t>
  </si>
  <si>
    <t>dunnida01</t>
  </si>
  <si>
    <t>raganco01</t>
  </si>
  <si>
    <t>kayan01</t>
  </si>
  <si>
    <t>smithwi05</t>
  </si>
  <si>
    <t>carlsdy01</t>
  </si>
  <si>
    <t>hudsoda02</t>
  </si>
  <si>
    <t>trammta01</t>
  </si>
  <si>
    <t>sheffjo01</t>
  </si>
  <si>
    <t>jeffeda01</t>
  </si>
  <si>
    <t>wentzjo01</t>
  </si>
  <si>
    <t>lodolni01</t>
  </si>
  <si>
    <t>lewisro02</t>
  </si>
  <si>
    <t>greenhu01</t>
  </si>
  <si>
    <t>gorema01</t>
  </si>
  <si>
    <t>mckaybr01</t>
  </si>
  <si>
    <t>wrighky01</t>
  </si>
  <si>
    <t>smithpa04</t>
  </si>
  <si>
    <t>haselad01</t>
  </si>
  <si>
    <t>hiurake01</t>
  </si>
  <si>
    <t>adelljo01</t>
  </si>
  <si>
    <t>burgeja01</t>
  </si>
  <si>
    <t>bazsh01</t>
  </si>
  <si>
    <t>rogertr01</t>
  </si>
  <si>
    <t>prattni01</t>
  </si>
  <si>
    <t>bukaujb01</t>
  </si>
  <si>
    <t>schmicl01</t>
  </si>
  <si>
    <t>whiteev01</t>
  </si>
  <si>
    <t>faedoal01</t>
  </si>
  <si>
    <t>ramoshe02</t>
  </si>
  <si>
    <t>peterda01</t>
  </si>
  <si>
    <t>halldl01</t>
  </si>
  <si>
    <t>houckta01</t>
  </si>
  <si>
    <t>romerse01</t>
  </si>
  <si>
    <t>thompbu01</t>
  </si>
  <si>
    <t>littlbr02</t>
  </si>
  <si>
    <t>pearsna01</t>
  </si>
  <si>
    <t>langeal01</t>
  </si>
  <si>
    <t>rasmudr01</t>
  </si>
  <si>
    <t>downsje01</t>
  </si>
  <si>
    <t>rookebr01</t>
  </si>
  <si>
    <t>millebr03</t>
  </si>
  <si>
    <t>mizeca01</t>
  </si>
  <si>
    <t>bartjo01</t>
  </si>
  <si>
    <t>bohmal01</t>
  </si>
  <si>
    <t>madrini01</t>
  </si>
  <si>
    <t>indiajo01</t>
  </si>
  <si>
    <t>kelenja01</t>
  </si>
  <si>
    <t>weathry01</t>
  </si>
  <si>
    <t>swaggtr01</t>
  </si>
  <si>
    <t>rodrigr01</t>
  </si>
  <si>
    <t>groshjo01</t>
  </si>
  <si>
    <t>gilbelo01</t>
  </si>
  <si>
    <t>winnco01</t>
  </si>
  <si>
    <t>liberma01</t>
  </si>
  <si>
    <t>adamsjo03</t>
  </si>
  <si>
    <t>singebr01</t>
  </si>
  <si>
    <t>gormano01</t>
  </si>
  <si>
    <t>larnatr01</t>
  </si>
  <si>
    <t>turanbr02</t>
  </si>
  <si>
    <t>rolisry01</t>
  </si>
  <si>
    <t>seiglan01</t>
  </si>
  <si>
    <t>hoernni01</t>
  </si>
  <si>
    <t>mclaima01</t>
  </si>
  <si>
    <t>casastr01</t>
  </si>
  <si>
    <t>beerse01</t>
  </si>
  <si>
    <t>naylobo01</t>
  </si>
  <si>
    <t>ginnjt01</t>
  </si>
  <si>
    <t>mcclash01</t>
  </si>
  <si>
    <t>kowarja01</t>
  </si>
  <si>
    <t>lynchda02</t>
  </si>
  <si>
    <t>hoglugu01</t>
  </si>
  <si>
    <t>edwarxa01</t>
  </si>
  <si>
    <t>mccarja02</t>
  </si>
  <si>
    <t>bubickr01</t>
  </si>
  <si>
    <t>rutscad01</t>
  </si>
  <si>
    <t>wittbo02</t>
  </si>
  <si>
    <t>vaughan01</t>
  </si>
  <si>
    <t>bledajj01</t>
  </si>
  <si>
    <t>greenri03</t>
  </si>
  <si>
    <t>abramcj01</t>
  </si>
  <si>
    <t>jungjo01</t>
  </si>
  <si>
    <t>langesh01</t>
  </si>
  <si>
    <t>manoaal01</t>
  </si>
  <si>
    <t>batybr01</t>
  </si>
  <si>
    <t>stottbr01</t>
  </si>
  <si>
    <t>wilsowi03</t>
  </si>
  <si>
    <t>carroco02</t>
  </si>
  <si>
    <t>rutleja01</t>
  </si>
  <si>
    <t>priesqu01</t>
  </si>
  <si>
    <t>thompza02</t>
  </si>
  <si>
    <t>kirbyge01</t>
  </si>
  <si>
    <t>shewmbr01</t>
  </si>
  <si>
    <t>jonesgr02</t>
  </si>
  <si>
    <t>toglimi01</t>
  </si>
  <si>
    <t>walstbl01</t>
  </si>
  <si>
    <t>smallet01</t>
  </si>
  <si>
    <t>davidlo01</t>
  </si>
  <si>
    <t>volpean01</t>
  </si>
  <si>
    <t>buschmi02</t>
  </si>
  <si>
    <t>leeko01</t>
  </si>
  <si>
    <t>jamesdr01</t>
  </si>
  <si>
    <t>misneka01</t>
  </si>
  <si>
    <t>wallnma01</t>
  </si>
  <si>
    <t>johnsse01</t>
  </si>
  <si>
    <t>wendzda01</t>
  </si>
  <si>
    <t>torkesp01</t>
  </si>
  <si>
    <t>kjershe01</t>
  </si>
  <si>
    <t>meyerma01</t>
  </si>
  <si>
    <t>martiau01</t>
  </si>
  <si>
    <t>hancoem01</t>
  </si>
  <si>
    <t>gonzani01</t>
  </si>
  <si>
    <t>hassero02</t>
  </si>
  <si>
    <t>veenza01</t>
  </si>
  <si>
    <t>detmere01</t>
  </si>
  <si>
    <t>crochga01</t>
  </si>
  <si>
    <t>bailepa01</t>
  </si>
  <si>
    <t>foscuju01</t>
  </si>
  <si>
    <t>abelmi01</t>
  </si>
  <si>
    <t>yorkeni01</t>
  </si>
  <si>
    <t>jarvibr01</t>
  </si>
  <si>
    <t>crowape01</t>
  </si>
  <si>
    <t>mitchga01</t>
  </si>
  <si>
    <t>walkejo02</t>
  </si>
  <si>
    <t>cavalca01</t>
  </si>
  <si>
    <t>shustja01</t>
  </si>
  <si>
    <t>soderty01</t>
  </si>
  <si>
    <t>wellsau01</t>
  </si>
  <si>
    <t>millebo06</t>
  </si>
  <si>
    <t>westbjo01</t>
  </si>
  <si>
    <t>mlodzca01</t>
  </si>
  <si>
    <t>loftini01</t>
  </si>
  <si>
    <t>ceccosl01</t>
  </si>
  <si>
    <t>romodr01</t>
  </si>
  <si>
    <t>willial04</t>
  </si>
  <si>
    <t>davishe01</t>
  </si>
  <si>
    <t>leiteja01</t>
  </si>
  <si>
    <t>jobeja01</t>
  </si>
  <si>
    <t>mayerma01</t>
  </si>
  <si>
    <t>cowseco01</t>
  </si>
  <si>
    <t>lawlajo01</t>
  </si>
  <si>
    <t>bachmsa01</t>
  </si>
  <si>
    <t>rockeku01</t>
  </si>
  <si>
    <t>housebr01</t>
  </si>
  <si>
    <t>fordha01</t>
  </si>
  <si>
    <t>paintan01</t>
  </si>
  <si>
    <t>frelisa01</t>
  </si>
  <si>
    <t>mcgremi01</t>
  </si>
  <si>
    <t>sweentr01</t>
  </si>
  <si>
    <t>wicksjo01</t>
  </si>
  <si>
    <t>montgco01</t>
  </si>
  <si>
    <t>williga01</t>
  </si>
  <si>
    <t>muncyma02</t>
  </si>
  <si>
    <t>pettych02</t>
  </si>
  <si>
    <t>merrija01</t>
  </si>
  <si>
    <t>willica02</t>
  </si>
  <si>
    <t>mackjo02</t>
  </si>
  <si>
    <t>maddety01</t>
  </si>
  <si>
    <t>blackty01</t>
  </si>
  <si>
    <t>hollija01</t>
  </si>
  <si>
    <t>hortoca01</t>
  </si>
  <si>
    <t>leebr02</t>
  </si>
  <si>
    <t>jungja01</t>
  </si>
  <si>
    <t>netoza01</t>
  </si>
  <si>
    <t>delauch01</t>
  </si>
  <si>
    <t>crawfju01</t>
  </si>
  <si>
    <t>susacda01</t>
  </si>
  <si>
    <t>youngco01</t>
  </si>
  <si>
    <t>jonessp01</t>
  </si>
  <si>
    <t>schulno01</t>
  </si>
  <si>
    <t>gilbedr01</t>
  </si>
  <si>
    <t>thompst01</t>
  </si>
  <si>
    <t>stewasa02</t>
  </si>
  <si>
    <t>beavedy01</t>
  </si>
  <si>
    <t>ritchjr01</t>
  </si>
  <si>
    <t>harrito03</t>
  </si>
  <si>
    <t>beckjo01</t>
  </si>
  <si>
    <t>snellro01</t>
  </si>
  <si>
    <t>skenepa01</t>
  </si>
  <si>
    <t>crewsdy01</t>
  </si>
  <si>
    <t>langfwy01</t>
  </si>
  <si>
    <t>wilsoja05</t>
  </si>
  <si>
    <t>lowderh01</t>
  </si>
  <si>
    <t>dollach01</t>
  </si>
  <si>
    <t>schanno01</t>
  </si>
  <si>
    <t>shawma01</t>
  </si>
  <si>
    <t>teelky01</t>
  </si>
  <si>
    <t>eldribr01</t>
  </si>
  <si>
    <t>emersco01</t>
  </si>
  <si>
    <t>waldrhu01</t>
  </si>
  <si>
    <t>matthbr01</t>
  </si>
  <si>
    <t>mcgonke01</t>
  </si>
  <si>
    <t>bazzatr01</t>
  </si>
  <si>
    <t>burnsch01</t>
  </si>
  <si>
    <t>kurtzni01</t>
  </si>
  <si>
    <t>caglija01</t>
  </si>
  <si>
    <t>wethejj01</t>
  </si>
  <si>
    <t>moorech03</t>
  </si>
  <si>
    <t>griffko01</t>
  </si>
  <si>
    <t>smithca07</t>
  </si>
  <si>
    <t>bengeca01</t>
  </si>
  <si>
    <t>yesavtr01</t>
  </si>
  <si>
    <t>waldsry01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</si>
</sst>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rial Unicode MS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/>
    </xf>
    <xf numFmtId="6" fontId="0" fillId="0" borderId="0" xfId="0" applyNumberFormat="1"/>
    <xf numFmtId="0" fontId="0" fillId="0" borderId="0" xfId="1" applyNumberFormat="1" applyFont="1"/>
    <xf numFmtId="0" fontId="3" fillId="0" borderId="0" xfId="0" applyFont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120650</xdr:rowOff>
    </xdr:to>
    <xdr:sp macro="" textlink="">
      <xdr:nvSpPr>
        <xdr:cNvPr id="2" name="AutoShape 31">
          <a:extLst>
            <a:ext uri="{FF2B5EF4-FFF2-40B4-BE49-F238E27FC236}">
              <a16:creationId xmlns:a16="http://schemas.microsoft.com/office/drawing/2014/main" id="{EF754FEA-75CD-4855-B8EE-1087CDED621B}"/>
            </a:ext>
          </a:extLst>
        </xdr:cNvPr>
        <xdr:cNvSpPr>
          <a:spLocks noChangeAspect="1" noChangeArrowheads="1"/>
        </xdr:cNvSpPr>
      </xdr:nvSpPr>
      <xdr:spPr bwMode="auto">
        <a:xfrm>
          <a:off x="11557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120650</xdr:rowOff>
    </xdr:to>
    <xdr:sp macro="" textlink="">
      <xdr:nvSpPr>
        <xdr:cNvPr id="3" name="AutoShape 32">
          <a:extLst>
            <a:ext uri="{FF2B5EF4-FFF2-40B4-BE49-F238E27FC236}">
              <a16:creationId xmlns:a16="http://schemas.microsoft.com/office/drawing/2014/main" id="{2F6166C1-511D-4E4F-82AD-14410C64134E}"/>
            </a:ext>
          </a:extLst>
        </xdr:cNvPr>
        <xdr:cNvSpPr>
          <a:spLocks noChangeAspect="1" noChangeArrowheads="1"/>
        </xdr:cNvSpPr>
      </xdr:nvSpPr>
      <xdr:spPr bwMode="auto">
        <a:xfrm>
          <a:off x="11557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120650</xdr:rowOff>
    </xdr:to>
    <xdr:sp macro="" textlink="">
      <xdr:nvSpPr>
        <xdr:cNvPr id="4" name="AutoShape 33">
          <a:extLst>
            <a:ext uri="{FF2B5EF4-FFF2-40B4-BE49-F238E27FC236}">
              <a16:creationId xmlns:a16="http://schemas.microsoft.com/office/drawing/2014/main" id="{E2DC0CDC-D8FD-4052-A8CD-2C67C96C6D18}"/>
            </a:ext>
          </a:extLst>
        </xdr:cNvPr>
        <xdr:cNvSpPr>
          <a:spLocks noChangeAspect="1" noChangeArrowheads="1"/>
        </xdr:cNvSpPr>
      </xdr:nvSpPr>
      <xdr:spPr bwMode="auto">
        <a:xfrm>
          <a:off x="11557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120650</xdr:rowOff>
    </xdr:to>
    <xdr:sp macro="" textlink="">
      <xdr:nvSpPr>
        <xdr:cNvPr id="5" name="AutoShape 34">
          <a:extLst>
            <a:ext uri="{FF2B5EF4-FFF2-40B4-BE49-F238E27FC236}">
              <a16:creationId xmlns:a16="http://schemas.microsoft.com/office/drawing/2014/main" id="{07E59705-60EA-406F-AAEC-C87B85E888A5}"/>
            </a:ext>
          </a:extLst>
        </xdr:cNvPr>
        <xdr:cNvSpPr>
          <a:spLocks noChangeAspect="1" noChangeArrowheads="1"/>
        </xdr:cNvSpPr>
      </xdr:nvSpPr>
      <xdr:spPr bwMode="auto">
        <a:xfrm>
          <a:off x="11557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120650</xdr:rowOff>
    </xdr:to>
    <xdr:sp macro="" textlink="">
      <xdr:nvSpPr>
        <xdr:cNvPr id="6" name="AutoShape 35">
          <a:extLst>
            <a:ext uri="{FF2B5EF4-FFF2-40B4-BE49-F238E27FC236}">
              <a16:creationId xmlns:a16="http://schemas.microsoft.com/office/drawing/2014/main" id="{025276A2-698A-405F-9DCC-6F30A6989A65}"/>
            </a:ext>
          </a:extLst>
        </xdr:cNvPr>
        <xdr:cNvSpPr>
          <a:spLocks noChangeAspect="1" noChangeArrowheads="1"/>
        </xdr:cNvSpPr>
      </xdr:nvSpPr>
      <xdr:spPr bwMode="auto">
        <a:xfrm>
          <a:off x="1155700" y="3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120650</xdr:rowOff>
    </xdr:to>
    <xdr:sp macro="" textlink="">
      <xdr:nvSpPr>
        <xdr:cNvPr id="7" name="AutoShape 36">
          <a:extLst>
            <a:ext uri="{FF2B5EF4-FFF2-40B4-BE49-F238E27FC236}">
              <a16:creationId xmlns:a16="http://schemas.microsoft.com/office/drawing/2014/main" id="{75FE2C9D-FA96-4F1E-8267-CD0EC8541131}"/>
            </a:ext>
          </a:extLst>
        </xdr:cNvPr>
        <xdr:cNvSpPr>
          <a:spLocks noChangeAspect="1" noChangeArrowheads="1"/>
        </xdr:cNvSpPr>
      </xdr:nvSpPr>
      <xdr:spPr bwMode="auto">
        <a:xfrm>
          <a:off x="1155700" y="5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4</xdr:row>
      <xdr:rowOff>120650</xdr:rowOff>
    </xdr:to>
    <xdr:sp macro="" textlink="">
      <xdr:nvSpPr>
        <xdr:cNvPr id="8" name="AutoShape 37">
          <a:extLst>
            <a:ext uri="{FF2B5EF4-FFF2-40B4-BE49-F238E27FC236}">
              <a16:creationId xmlns:a16="http://schemas.microsoft.com/office/drawing/2014/main" id="{52533C8D-18F1-4F53-8F74-EC24CEB5E586}"/>
            </a:ext>
          </a:extLst>
        </xdr:cNvPr>
        <xdr:cNvSpPr>
          <a:spLocks noChangeAspect="1" noChangeArrowheads="1"/>
        </xdr:cNvSpPr>
      </xdr:nvSpPr>
      <xdr:spPr bwMode="auto">
        <a:xfrm>
          <a:off x="1155700" y="7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120650</xdr:rowOff>
    </xdr:to>
    <xdr:sp macro="" textlink="">
      <xdr:nvSpPr>
        <xdr:cNvPr id="9" name="AutoShape 38">
          <a:extLst>
            <a:ext uri="{FF2B5EF4-FFF2-40B4-BE49-F238E27FC236}">
              <a16:creationId xmlns:a16="http://schemas.microsoft.com/office/drawing/2014/main" id="{D1DF7F97-684F-426C-81CB-636B5DDEDB36}"/>
            </a:ext>
          </a:extLst>
        </xdr:cNvPr>
        <xdr:cNvSpPr>
          <a:spLocks noChangeAspect="1" noChangeArrowheads="1"/>
        </xdr:cNvSpPr>
      </xdr:nvSpPr>
      <xdr:spPr bwMode="auto">
        <a:xfrm>
          <a:off x="1155700" y="9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120650</xdr:rowOff>
    </xdr:to>
    <xdr:sp macro="" textlink="">
      <xdr:nvSpPr>
        <xdr:cNvPr id="10" name="AutoShape 39">
          <a:extLst>
            <a:ext uri="{FF2B5EF4-FFF2-40B4-BE49-F238E27FC236}">
              <a16:creationId xmlns:a16="http://schemas.microsoft.com/office/drawing/2014/main" id="{BE042D4C-4FEC-412E-AC58-3A47CDCA29A9}"/>
            </a:ext>
          </a:extLst>
        </xdr:cNvPr>
        <xdr:cNvSpPr>
          <a:spLocks noChangeAspect="1" noChangeArrowheads="1"/>
        </xdr:cNvSpPr>
      </xdr:nvSpPr>
      <xdr:spPr bwMode="auto">
        <a:xfrm>
          <a:off x="1155700" y="11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120650</xdr:rowOff>
    </xdr:to>
    <xdr:sp macro="" textlink="">
      <xdr:nvSpPr>
        <xdr:cNvPr id="11" name="AutoShape 40">
          <a:extLst>
            <a:ext uri="{FF2B5EF4-FFF2-40B4-BE49-F238E27FC236}">
              <a16:creationId xmlns:a16="http://schemas.microsoft.com/office/drawing/2014/main" id="{6E5708AB-AB6F-4A57-B200-B634E80B2230}"/>
            </a:ext>
          </a:extLst>
        </xdr:cNvPr>
        <xdr:cNvSpPr>
          <a:spLocks noChangeAspect="1" noChangeArrowheads="1"/>
        </xdr:cNvSpPr>
      </xdr:nvSpPr>
      <xdr:spPr bwMode="auto">
        <a:xfrm>
          <a:off x="1155700" y="12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120650</xdr:rowOff>
    </xdr:to>
    <xdr:sp macro="" textlink="">
      <xdr:nvSpPr>
        <xdr:cNvPr id="12" name="AutoShape 41">
          <a:extLst>
            <a:ext uri="{FF2B5EF4-FFF2-40B4-BE49-F238E27FC236}">
              <a16:creationId xmlns:a16="http://schemas.microsoft.com/office/drawing/2014/main" id="{4E9385DA-CD0C-437C-92F4-E3EC8C36E9DD}"/>
            </a:ext>
          </a:extLst>
        </xdr:cNvPr>
        <xdr:cNvSpPr>
          <a:spLocks noChangeAspect="1" noChangeArrowheads="1"/>
        </xdr:cNvSpPr>
      </xdr:nvSpPr>
      <xdr:spPr bwMode="auto">
        <a:xfrm>
          <a:off x="1155700" y="14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9</xdr:row>
      <xdr:rowOff>120650</xdr:rowOff>
    </xdr:to>
    <xdr:sp macro="" textlink="">
      <xdr:nvSpPr>
        <xdr:cNvPr id="13" name="AutoShape 42">
          <a:extLst>
            <a:ext uri="{FF2B5EF4-FFF2-40B4-BE49-F238E27FC236}">
              <a16:creationId xmlns:a16="http://schemas.microsoft.com/office/drawing/2014/main" id="{FA80F2CE-7EBB-4C42-9B7F-3C4F32FFB7BC}"/>
            </a:ext>
          </a:extLst>
        </xdr:cNvPr>
        <xdr:cNvSpPr>
          <a:spLocks noChangeAspect="1" noChangeArrowheads="1"/>
        </xdr:cNvSpPr>
      </xdr:nvSpPr>
      <xdr:spPr bwMode="auto">
        <a:xfrm>
          <a:off x="1155700" y="165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10</xdr:row>
      <xdr:rowOff>120650</xdr:rowOff>
    </xdr:to>
    <xdr:sp macro="" textlink="">
      <xdr:nvSpPr>
        <xdr:cNvPr id="14" name="AutoShape 43">
          <a:extLst>
            <a:ext uri="{FF2B5EF4-FFF2-40B4-BE49-F238E27FC236}">
              <a16:creationId xmlns:a16="http://schemas.microsoft.com/office/drawing/2014/main" id="{70549737-2C3E-4491-9E58-52FAEA3C5C4F}"/>
            </a:ext>
          </a:extLst>
        </xdr:cNvPr>
        <xdr:cNvSpPr>
          <a:spLocks noChangeAspect="1" noChangeArrowheads="1"/>
        </xdr:cNvSpPr>
      </xdr:nvSpPr>
      <xdr:spPr bwMode="auto">
        <a:xfrm>
          <a:off x="1155700" y="18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120650</xdr:rowOff>
    </xdr:to>
    <xdr:sp macro="" textlink="">
      <xdr:nvSpPr>
        <xdr:cNvPr id="15" name="AutoShape 44">
          <a:extLst>
            <a:ext uri="{FF2B5EF4-FFF2-40B4-BE49-F238E27FC236}">
              <a16:creationId xmlns:a16="http://schemas.microsoft.com/office/drawing/2014/main" id="{7CA19C94-68A7-4C2F-963C-0E13571CECC3}"/>
            </a:ext>
          </a:extLst>
        </xdr:cNvPr>
        <xdr:cNvSpPr>
          <a:spLocks noChangeAspect="1" noChangeArrowheads="1"/>
        </xdr:cNvSpPr>
      </xdr:nvSpPr>
      <xdr:spPr bwMode="auto">
        <a:xfrm>
          <a:off x="1155700" y="20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120650</xdr:rowOff>
    </xdr:to>
    <xdr:sp macro="" textlink="">
      <xdr:nvSpPr>
        <xdr:cNvPr id="16" name="AutoShape 45">
          <a:extLst>
            <a:ext uri="{FF2B5EF4-FFF2-40B4-BE49-F238E27FC236}">
              <a16:creationId xmlns:a16="http://schemas.microsoft.com/office/drawing/2014/main" id="{4A133063-F92B-4F36-81E5-5AA313588EB6}"/>
            </a:ext>
          </a:extLst>
        </xdr:cNvPr>
        <xdr:cNvSpPr>
          <a:spLocks noChangeAspect="1" noChangeArrowheads="1"/>
        </xdr:cNvSpPr>
      </xdr:nvSpPr>
      <xdr:spPr bwMode="auto">
        <a:xfrm>
          <a:off x="1155700" y="22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13</xdr:row>
      <xdr:rowOff>120650</xdr:rowOff>
    </xdr:to>
    <xdr:sp macro="" textlink="">
      <xdr:nvSpPr>
        <xdr:cNvPr id="17" name="AutoShape 46">
          <a:extLst>
            <a:ext uri="{FF2B5EF4-FFF2-40B4-BE49-F238E27FC236}">
              <a16:creationId xmlns:a16="http://schemas.microsoft.com/office/drawing/2014/main" id="{F6C359D9-59BD-4590-99D9-BE82F69AEB5A}"/>
            </a:ext>
          </a:extLst>
        </xdr:cNvPr>
        <xdr:cNvSpPr>
          <a:spLocks noChangeAspect="1" noChangeArrowheads="1"/>
        </xdr:cNvSpPr>
      </xdr:nvSpPr>
      <xdr:spPr bwMode="auto">
        <a:xfrm>
          <a:off x="1155700" y="239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14</xdr:row>
      <xdr:rowOff>120650</xdr:rowOff>
    </xdr:to>
    <xdr:sp macro="" textlink="">
      <xdr:nvSpPr>
        <xdr:cNvPr id="18" name="AutoShape 47">
          <a:extLst>
            <a:ext uri="{FF2B5EF4-FFF2-40B4-BE49-F238E27FC236}">
              <a16:creationId xmlns:a16="http://schemas.microsoft.com/office/drawing/2014/main" id="{AF0E4CA6-A239-4D61-9FAD-F4C084FB1C56}"/>
            </a:ext>
          </a:extLst>
        </xdr:cNvPr>
        <xdr:cNvSpPr>
          <a:spLocks noChangeAspect="1" noChangeArrowheads="1"/>
        </xdr:cNvSpPr>
      </xdr:nvSpPr>
      <xdr:spPr bwMode="auto">
        <a:xfrm>
          <a:off x="1155700" y="25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15</xdr:row>
      <xdr:rowOff>120650</xdr:rowOff>
    </xdr:to>
    <xdr:sp macro="" textlink="">
      <xdr:nvSpPr>
        <xdr:cNvPr id="19" name="AutoShape 48">
          <a:extLst>
            <a:ext uri="{FF2B5EF4-FFF2-40B4-BE49-F238E27FC236}">
              <a16:creationId xmlns:a16="http://schemas.microsoft.com/office/drawing/2014/main" id="{B8E2ABAD-23F7-49CD-9BA9-0F21D9DF6F4A}"/>
            </a:ext>
          </a:extLst>
        </xdr:cNvPr>
        <xdr:cNvSpPr>
          <a:spLocks noChangeAspect="1" noChangeArrowheads="1"/>
        </xdr:cNvSpPr>
      </xdr:nvSpPr>
      <xdr:spPr bwMode="auto">
        <a:xfrm>
          <a:off x="115570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16</xdr:row>
      <xdr:rowOff>120650</xdr:rowOff>
    </xdr:to>
    <xdr:sp macro="" textlink="">
      <xdr:nvSpPr>
        <xdr:cNvPr id="20" name="AutoShape 49">
          <a:extLst>
            <a:ext uri="{FF2B5EF4-FFF2-40B4-BE49-F238E27FC236}">
              <a16:creationId xmlns:a16="http://schemas.microsoft.com/office/drawing/2014/main" id="{2D01FB07-1E2D-4E9E-A17B-1B01C0903DA8}"/>
            </a:ext>
          </a:extLst>
        </xdr:cNvPr>
        <xdr:cNvSpPr>
          <a:spLocks noChangeAspect="1" noChangeArrowheads="1"/>
        </xdr:cNvSpPr>
      </xdr:nvSpPr>
      <xdr:spPr bwMode="auto">
        <a:xfrm>
          <a:off x="1155700" y="29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17</xdr:row>
      <xdr:rowOff>120650</xdr:rowOff>
    </xdr:to>
    <xdr:sp macro="" textlink="">
      <xdr:nvSpPr>
        <xdr:cNvPr id="21" name="AutoShape 50">
          <a:extLst>
            <a:ext uri="{FF2B5EF4-FFF2-40B4-BE49-F238E27FC236}">
              <a16:creationId xmlns:a16="http://schemas.microsoft.com/office/drawing/2014/main" id="{7F36ACC0-1618-479A-9302-B9F8297A581B}"/>
            </a:ext>
          </a:extLst>
        </xdr:cNvPr>
        <xdr:cNvSpPr>
          <a:spLocks noChangeAspect="1" noChangeArrowheads="1"/>
        </xdr:cNvSpPr>
      </xdr:nvSpPr>
      <xdr:spPr bwMode="auto">
        <a:xfrm>
          <a:off x="1155700" y="31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18</xdr:row>
      <xdr:rowOff>120650</xdr:rowOff>
    </xdr:to>
    <xdr:sp macro="" textlink="">
      <xdr:nvSpPr>
        <xdr:cNvPr id="22" name="AutoShape 51">
          <a:extLst>
            <a:ext uri="{FF2B5EF4-FFF2-40B4-BE49-F238E27FC236}">
              <a16:creationId xmlns:a16="http://schemas.microsoft.com/office/drawing/2014/main" id="{45EF25DA-2636-41B9-84A3-26113AA1C21C}"/>
            </a:ext>
          </a:extLst>
        </xdr:cNvPr>
        <xdr:cNvSpPr>
          <a:spLocks noChangeAspect="1" noChangeArrowheads="1"/>
        </xdr:cNvSpPr>
      </xdr:nvSpPr>
      <xdr:spPr bwMode="auto">
        <a:xfrm>
          <a:off x="1155700" y="3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19</xdr:row>
      <xdr:rowOff>120650</xdr:rowOff>
    </xdr:to>
    <xdr:sp macro="" textlink="">
      <xdr:nvSpPr>
        <xdr:cNvPr id="23" name="AutoShape 52">
          <a:extLst>
            <a:ext uri="{FF2B5EF4-FFF2-40B4-BE49-F238E27FC236}">
              <a16:creationId xmlns:a16="http://schemas.microsoft.com/office/drawing/2014/main" id="{F8BD5D8B-152E-4C99-8DC9-BC29FA11F411}"/>
            </a:ext>
          </a:extLst>
        </xdr:cNvPr>
        <xdr:cNvSpPr>
          <a:spLocks noChangeAspect="1" noChangeArrowheads="1"/>
        </xdr:cNvSpPr>
      </xdr:nvSpPr>
      <xdr:spPr bwMode="auto">
        <a:xfrm>
          <a:off x="1155700" y="349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20</xdr:row>
      <xdr:rowOff>120650</xdr:rowOff>
    </xdr:to>
    <xdr:sp macro="" textlink="">
      <xdr:nvSpPr>
        <xdr:cNvPr id="24" name="AutoShape 53">
          <a:extLst>
            <a:ext uri="{FF2B5EF4-FFF2-40B4-BE49-F238E27FC236}">
              <a16:creationId xmlns:a16="http://schemas.microsoft.com/office/drawing/2014/main" id="{1FE240F8-F6C7-4F02-830E-8EDF95A105D9}"/>
            </a:ext>
          </a:extLst>
        </xdr:cNvPr>
        <xdr:cNvSpPr>
          <a:spLocks noChangeAspect="1" noChangeArrowheads="1"/>
        </xdr:cNvSpPr>
      </xdr:nvSpPr>
      <xdr:spPr bwMode="auto">
        <a:xfrm>
          <a:off x="115570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21</xdr:row>
      <xdr:rowOff>120650</xdr:rowOff>
    </xdr:to>
    <xdr:sp macro="" textlink="">
      <xdr:nvSpPr>
        <xdr:cNvPr id="25" name="AutoShape 54">
          <a:extLst>
            <a:ext uri="{FF2B5EF4-FFF2-40B4-BE49-F238E27FC236}">
              <a16:creationId xmlns:a16="http://schemas.microsoft.com/office/drawing/2014/main" id="{B262C0E2-A8BE-43A8-BBD3-4644CFE77622}"/>
            </a:ext>
          </a:extLst>
        </xdr:cNvPr>
        <xdr:cNvSpPr>
          <a:spLocks noChangeAspect="1" noChangeArrowheads="1"/>
        </xdr:cNvSpPr>
      </xdr:nvSpPr>
      <xdr:spPr bwMode="auto">
        <a:xfrm>
          <a:off x="1155700" y="38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22</xdr:row>
      <xdr:rowOff>120650</xdr:rowOff>
    </xdr:to>
    <xdr:sp macro="" textlink="">
      <xdr:nvSpPr>
        <xdr:cNvPr id="26" name="AutoShape 55">
          <a:extLst>
            <a:ext uri="{FF2B5EF4-FFF2-40B4-BE49-F238E27FC236}">
              <a16:creationId xmlns:a16="http://schemas.microsoft.com/office/drawing/2014/main" id="{EE5FDA0F-D327-4157-9944-CE4C070D0661}"/>
            </a:ext>
          </a:extLst>
        </xdr:cNvPr>
        <xdr:cNvSpPr>
          <a:spLocks noChangeAspect="1" noChangeArrowheads="1"/>
        </xdr:cNvSpPr>
      </xdr:nvSpPr>
      <xdr:spPr bwMode="auto">
        <a:xfrm>
          <a:off x="1155700" y="40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23</xdr:row>
      <xdr:rowOff>120650</xdr:rowOff>
    </xdr:to>
    <xdr:sp macro="" textlink="">
      <xdr:nvSpPr>
        <xdr:cNvPr id="27" name="AutoShape 56">
          <a:extLst>
            <a:ext uri="{FF2B5EF4-FFF2-40B4-BE49-F238E27FC236}">
              <a16:creationId xmlns:a16="http://schemas.microsoft.com/office/drawing/2014/main" id="{3A1F273D-4B9B-4E38-90D8-827C84F80A17}"/>
            </a:ext>
          </a:extLst>
        </xdr:cNvPr>
        <xdr:cNvSpPr>
          <a:spLocks noChangeAspect="1" noChangeArrowheads="1"/>
        </xdr:cNvSpPr>
      </xdr:nvSpPr>
      <xdr:spPr bwMode="auto">
        <a:xfrm>
          <a:off x="1155700" y="42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24</xdr:row>
      <xdr:rowOff>120650</xdr:rowOff>
    </xdr:to>
    <xdr:sp macro="" textlink="">
      <xdr:nvSpPr>
        <xdr:cNvPr id="28" name="AutoShape 57">
          <a:extLst>
            <a:ext uri="{FF2B5EF4-FFF2-40B4-BE49-F238E27FC236}">
              <a16:creationId xmlns:a16="http://schemas.microsoft.com/office/drawing/2014/main" id="{53C5D661-9B8D-4F8E-B5DC-4F7707B877F6}"/>
            </a:ext>
          </a:extLst>
        </xdr:cNvPr>
        <xdr:cNvSpPr>
          <a:spLocks noChangeAspect="1" noChangeArrowheads="1"/>
        </xdr:cNvSpPr>
      </xdr:nvSpPr>
      <xdr:spPr bwMode="auto">
        <a:xfrm>
          <a:off x="1155700" y="44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25</xdr:row>
      <xdr:rowOff>120650</xdr:rowOff>
    </xdr:to>
    <xdr:sp macro="" textlink="">
      <xdr:nvSpPr>
        <xdr:cNvPr id="29" name="AutoShape 58">
          <a:extLst>
            <a:ext uri="{FF2B5EF4-FFF2-40B4-BE49-F238E27FC236}">
              <a16:creationId xmlns:a16="http://schemas.microsoft.com/office/drawing/2014/main" id="{45970781-0384-41A7-A5B0-EFF753645F7E}"/>
            </a:ext>
          </a:extLst>
        </xdr:cNvPr>
        <xdr:cNvSpPr>
          <a:spLocks noChangeAspect="1" noChangeArrowheads="1"/>
        </xdr:cNvSpPr>
      </xdr:nvSpPr>
      <xdr:spPr bwMode="auto">
        <a:xfrm>
          <a:off x="1155700" y="460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26</xdr:row>
      <xdr:rowOff>120650</xdr:rowOff>
    </xdr:to>
    <xdr:sp macro="" textlink="">
      <xdr:nvSpPr>
        <xdr:cNvPr id="30" name="AutoShape 59">
          <a:extLst>
            <a:ext uri="{FF2B5EF4-FFF2-40B4-BE49-F238E27FC236}">
              <a16:creationId xmlns:a16="http://schemas.microsoft.com/office/drawing/2014/main" id="{2E39D642-30E5-4376-8A85-816C7C2E1AEF}"/>
            </a:ext>
          </a:extLst>
        </xdr:cNvPr>
        <xdr:cNvSpPr>
          <a:spLocks noChangeAspect="1" noChangeArrowheads="1"/>
        </xdr:cNvSpPr>
      </xdr:nvSpPr>
      <xdr:spPr bwMode="auto">
        <a:xfrm>
          <a:off x="1155700" y="47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304800</xdr:colOff>
      <xdr:row>27</xdr:row>
      <xdr:rowOff>120650</xdr:rowOff>
    </xdr:to>
    <xdr:sp macro="" textlink="">
      <xdr:nvSpPr>
        <xdr:cNvPr id="31" name="AutoShape 60">
          <a:extLst>
            <a:ext uri="{FF2B5EF4-FFF2-40B4-BE49-F238E27FC236}">
              <a16:creationId xmlns:a16="http://schemas.microsoft.com/office/drawing/2014/main" id="{3DB06A3F-6AD1-4169-87B7-05F779CF3C4E}"/>
            </a:ext>
          </a:extLst>
        </xdr:cNvPr>
        <xdr:cNvSpPr>
          <a:spLocks noChangeAspect="1" noChangeArrowheads="1"/>
        </xdr:cNvSpPr>
      </xdr:nvSpPr>
      <xdr:spPr bwMode="auto">
        <a:xfrm>
          <a:off x="1155700" y="497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28</xdr:row>
      <xdr:rowOff>120650</xdr:rowOff>
    </xdr:to>
    <xdr:sp macro="" textlink="">
      <xdr:nvSpPr>
        <xdr:cNvPr id="32" name="AutoShape 61">
          <a:extLst>
            <a:ext uri="{FF2B5EF4-FFF2-40B4-BE49-F238E27FC236}">
              <a16:creationId xmlns:a16="http://schemas.microsoft.com/office/drawing/2014/main" id="{ADFCCD61-153E-49DE-8A2B-307C4609751B}"/>
            </a:ext>
          </a:extLst>
        </xdr:cNvPr>
        <xdr:cNvSpPr>
          <a:spLocks noChangeAspect="1" noChangeArrowheads="1"/>
        </xdr:cNvSpPr>
      </xdr:nvSpPr>
      <xdr:spPr bwMode="auto">
        <a:xfrm>
          <a:off x="1155700" y="515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29</xdr:row>
      <xdr:rowOff>120650</xdr:rowOff>
    </xdr:to>
    <xdr:sp macro="" textlink="">
      <xdr:nvSpPr>
        <xdr:cNvPr id="33" name="AutoShape 62">
          <a:extLst>
            <a:ext uri="{FF2B5EF4-FFF2-40B4-BE49-F238E27FC236}">
              <a16:creationId xmlns:a16="http://schemas.microsoft.com/office/drawing/2014/main" id="{8A8EC3F2-7F43-4567-ACF1-51A41A985C09}"/>
            </a:ext>
          </a:extLst>
        </xdr:cNvPr>
        <xdr:cNvSpPr>
          <a:spLocks noChangeAspect="1" noChangeArrowheads="1"/>
        </xdr:cNvSpPr>
      </xdr:nvSpPr>
      <xdr:spPr bwMode="auto">
        <a:xfrm>
          <a:off x="1155700" y="53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30</xdr:row>
      <xdr:rowOff>120650</xdr:rowOff>
    </xdr:to>
    <xdr:sp macro="" textlink="">
      <xdr:nvSpPr>
        <xdr:cNvPr id="34" name="AutoShape 63">
          <a:extLst>
            <a:ext uri="{FF2B5EF4-FFF2-40B4-BE49-F238E27FC236}">
              <a16:creationId xmlns:a16="http://schemas.microsoft.com/office/drawing/2014/main" id="{8D0250FE-978E-46AC-ACBD-BCDC1A49D10A}"/>
            </a:ext>
          </a:extLst>
        </xdr:cNvPr>
        <xdr:cNvSpPr>
          <a:spLocks noChangeAspect="1" noChangeArrowheads="1"/>
        </xdr:cNvSpPr>
      </xdr:nvSpPr>
      <xdr:spPr bwMode="auto">
        <a:xfrm>
          <a:off x="11557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31</xdr:row>
      <xdr:rowOff>120650</xdr:rowOff>
    </xdr:to>
    <xdr:sp macro="" textlink="">
      <xdr:nvSpPr>
        <xdr:cNvPr id="35" name="AutoShape 64">
          <a:extLst>
            <a:ext uri="{FF2B5EF4-FFF2-40B4-BE49-F238E27FC236}">
              <a16:creationId xmlns:a16="http://schemas.microsoft.com/office/drawing/2014/main" id="{743EDD15-1BDB-446A-A83E-07A37CF666C3}"/>
            </a:ext>
          </a:extLst>
        </xdr:cNvPr>
        <xdr:cNvSpPr>
          <a:spLocks noChangeAspect="1" noChangeArrowheads="1"/>
        </xdr:cNvSpPr>
      </xdr:nvSpPr>
      <xdr:spPr bwMode="auto">
        <a:xfrm>
          <a:off x="1155700" y="57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32</xdr:row>
      <xdr:rowOff>120650</xdr:rowOff>
    </xdr:to>
    <xdr:sp macro="" textlink="">
      <xdr:nvSpPr>
        <xdr:cNvPr id="36" name="AutoShape 65">
          <a:extLst>
            <a:ext uri="{FF2B5EF4-FFF2-40B4-BE49-F238E27FC236}">
              <a16:creationId xmlns:a16="http://schemas.microsoft.com/office/drawing/2014/main" id="{59421132-52AC-4C57-B70D-62E996456C10}"/>
            </a:ext>
          </a:extLst>
        </xdr:cNvPr>
        <xdr:cNvSpPr>
          <a:spLocks noChangeAspect="1" noChangeArrowheads="1"/>
        </xdr:cNvSpPr>
      </xdr:nvSpPr>
      <xdr:spPr bwMode="auto">
        <a:xfrm>
          <a:off x="1155700" y="58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33</xdr:row>
      <xdr:rowOff>120650</xdr:rowOff>
    </xdr:to>
    <xdr:sp macro="" textlink="">
      <xdr:nvSpPr>
        <xdr:cNvPr id="37" name="AutoShape 66">
          <a:extLst>
            <a:ext uri="{FF2B5EF4-FFF2-40B4-BE49-F238E27FC236}">
              <a16:creationId xmlns:a16="http://schemas.microsoft.com/office/drawing/2014/main" id="{2EEB57AB-82A9-4738-BDBF-3F8FCB83438D}"/>
            </a:ext>
          </a:extLst>
        </xdr:cNvPr>
        <xdr:cNvSpPr>
          <a:spLocks noChangeAspect="1" noChangeArrowheads="1"/>
        </xdr:cNvSpPr>
      </xdr:nvSpPr>
      <xdr:spPr bwMode="auto">
        <a:xfrm>
          <a:off x="1155700" y="607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34</xdr:row>
      <xdr:rowOff>120650</xdr:rowOff>
    </xdr:to>
    <xdr:sp macro="" textlink="">
      <xdr:nvSpPr>
        <xdr:cNvPr id="38" name="AutoShape 67">
          <a:extLst>
            <a:ext uri="{FF2B5EF4-FFF2-40B4-BE49-F238E27FC236}">
              <a16:creationId xmlns:a16="http://schemas.microsoft.com/office/drawing/2014/main" id="{E5623EA4-F8FF-4970-8AF5-4CB52696C7D7}"/>
            </a:ext>
          </a:extLst>
        </xdr:cNvPr>
        <xdr:cNvSpPr>
          <a:spLocks noChangeAspect="1" noChangeArrowheads="1"/>
        </xdr:cNvSpPr>
      </xdr:nvSpPr>
      <xdr:spPr bwMode="auto">
        <a:xfrm>
          <a:off x="1155700" y="62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35</xdr:row>
      <xdr:rowOff>120650</xdr:rowOff>
    </xdr:to>
    <xdr:sp macro="" textlink="">
      <xdr:nvSpPr>
        <xdr:cNvPr id="39" name="AutoShape 68">
          <a:extLst>
            <a:ext uri="{FF2B5EF4-FFF2-40B4-BE49-F238E27FC236}">
              <a16:creationId xmlns:a16="http://schemas.microsoft.com/office/drawing/2014/main" id="{0B966E84-7A8D-49B3-8EBC-FE2E879FB193}"/>
            </a:ext>
          </a:extLst>
        </xdr:cNvPr>
        <xdr:cNvSpPr>
          <a:spLocks noChangeAspect="1" noChangeArrowheads="1"/>
        </xdr:cNvSpPr>
      </xdr:nvSpPr>
      <xdr:spPr bwMode="auto">
        <a:xfrm>
          <a:off x="1155700" y="644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36</xdr:row>
      <xdr:rowOff>120650</xdr:rowOff>
    </xdr:to>
    <xdr:sp macro="" textlink="">
      <xdr:nvSpPr>
        <xdr:cNvPr id="40" name="AutoShape 69">
          <a:extLst>
            <a:ext uri="{FF2B5EF4-FFF2-40B4-BE49-F238E27FC236}">
              <a16:creationId xmlns:a16="http://schemas.microsoft.com/office/drawing/2014/main" id="{B84D6DB7-07D5-4D8F-9857-E7C39BA05FFD}"/>
            </a:ext>
          </a:extLst>
        </xdr:cNvPr>
        <xdr:cNvSpPr>
          <a:spLocks noChangeAspect="1" noChangeArrowheads="1"/>
        </xdr:cNvSpPr>
      </xdr:nvSpPr>
      <xdr:spPr bwMode="auto">
        <a:xfrm>
          <a:off x="1155700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120650</xdr:rowOff>
    </xdr:to>
    <xdr:sp macro="" textlink="">
      <xdr:nvSpPr>
        <xdr:cNvPr id="2" name="AutoShape 31">
          <a:extLst>
            <a:ext uri="{FF2B5EF4-FFF2-40B4-BE49-F238E27FC236}">
              <a16:creationId xmlns:a16="http://schemas.microsoft.com/office/drawing/2014/main" id="{2CB4DAA1-58A3-44EA-9E2D-D6BA39E6B298}"/>
            </a:ext>
          </a:extLst>
        </xdr:cNvPr>
        <xdr:cNvSpPr>
          <a:spLocks noChangeAspect="1" noChangeArrowheads="1"/>
        </xdr:cNvSpPr>
      </xdr:nvSpPr>
      <xdr:spPr bwMode="auto">
        <a:xfrm>
          <a:off x="11049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120650</xdr:rowOff>
    </xdr:to>
    <xdr:sp macro="" textlink="">
      <xdr:nvSpPr>
        <xdr:cNvPr id="3" name="AutoShape 32">
          <a:extLst>
            <a:ext uri="{FF2B5EF4-FFF2-40B4-BE49-F238E27FC236}">
              <a16:creationId xmlns:a16="http://schemas.microsoft.com/office/drawing/2014/main" id="{7F6B610B-7C12-4323-9746-F70E33FCEC10}"/>
            </a:ext>
          </a:extLst>
        </xdr:cNvPr>
        <xdr:cNvSpPr>
          <a:spLocks noChangeAspect="1" noChangeArrowheads="1"/>
        </xdr:cNvSpPr>
      </xdr:nvSpPr>
      <xdr:spPr bwMode="auto">
        <a:xfrm>
          <a:off x="11049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120650</xdr:rowOff>
    </xdr:to>
    <xdr:sp macro="" textlink="">
      <xdr:nvSpPr>
        <xdr:cNvPr id="4" name="AutoShape 33">
          <a:extLst>
            <a:ext uri="{FF2B5EF4-FFF2-40B4-BE49-F238E27FC236}">
              <a16:creationId xmlns:a16="http://schemas.microsoft.com/office/drawing/2014/main" id="{84C98956-9577-4F33-A237-823A494E93A6}"/>
            </a:ext>
          </a:extLst>
        </xdr:cNvPr>
        <xdr:cNvSpPr>
          <a:spLocks noChangeAspect="1" noChangeArrowheads="1"/>
        </xdr:cNvSpPr>
      </xdr:nvSpPr>
      <xdr:spPr bwMode="auto">
        <a:xfrm>
          <a:off x="11049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120650</xdr:rowOff>
    </xdr:to>
    <xdr:sp macro="" textlink="">
      <xdr:nvSpPr>
        <xdr:cNvPr id="5" name="AutoShape 34">
          <a:extLst>
            <a:ext uri="{FF2B5EF4-FFF2-40B4-BE49-F238E27FC236}">
              <a16:creationId xmlns:a16="http://schemas.microsoft.com/office/drawing/2014/main" id="{DBC3CAC7-B3BE-466E-90FF-65DA4BDD7D00}"/>
            </a:ext>
          </a:extLst>
        </xdr:cNvPr>
        <xdr:cNvSpPr>
          <a:spLocks noChangeAspect="1" noChangeArrowheads="1"/>
        </xdr:cNvSpPr>
      </xdr:nvSpPr>
      <xdr:spPr bwMode="auto">
        <a:xfrm>
          <a:off x="1104900" y="3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120650</xdr:rowOff>
    </xdr:to>
    <xdr:sp macro="" textlink="">
      <xdr:nvSpPr>
        <xdr:cNvPr id="6" name="AutoShape 35">
          <a:extLst>
            <a:ext uri="{FF2B5EF4-FFF2-40B4-BE49-F238E27FC236}">
              <a16:creationId xmlns:a16="http://schemas.microsoft.com/office/drawing/2014/main" id="{B6E42017-ADCD-40A1-9C67-FC49E6483DC0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4</xdr:row>
      <xdr:rowOff>120650</xdr:rowOff>
    </xdr:to>
    <xdr:sp macro="" textlink="">
      <xdr:nvSpPr>
        <xdr:cNvPr id="7" name="AutoShape 36">
          <a:extLst>
            <a:ext uri="{FF2B5EF4-FFF2-40B4-BE49-F238E27FC236}">
              <a16:creationId xmlns:a16="http://schemas.microsoft.com/office/drawing/2014/main" id="{97F47FB9-614B-4B63-8DB6-4D1FF660D16E}"/>
            </a:ext>
          </a:extLst>
        </xdr:cNvPr>
        <xdr:cNvSpPr>
          <a:spLocks noChangeAspect="1" noChangeArrowheads="1"/>
        </xdr:cNvSpPr>
      </xdr:nvSpPr>
      <xdr:spPr bwMode="auto">
        <a:xfrm>
          <a:off x="1104900" y="7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120650</xdr:rowOff>
    </xdr:to>
    <xdr:sp macro="" textlink="">
      <xdr:nvSpPr>
        <xdr:cNvPr id="8" name="AutoShape 37">
          <a:extLst>
            <a:ext uri="{FF2B5EF4-FFF2-40B4-BE49-F238E27FC236}">
              <a16:creationId xmlns:a16="http://schemas.microsoft.com/office/drawing/2014/main" id="{BBC46160-7356-40EF-AB21-B0AFE0033F20}"/>
            </a:ext>
          </a:extLst>
        </xdr:cNvPr>
        <xdr:cNvSpPr>
          <a:spLocks noChangeAspect="1" noChangeArrowheads="1"/>
        </xdr:cNvSpPr>
      </xdr:nvSpPr>
      <xdr:spPr bwMode="auto">
        <a:xfrm>
          <a:off x="1104900" y="9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120650</xdr:rowOff>
    </xdr:to>
    <xdr:sp macro="" textlink="">
      <xdr:nvSpPr>
        <xdr:cNvPr id="9" name="AutoShape 38">
          <a:extLst>
            <a:ext uri="{FF2B5EF4-FFF2-40B4-BE49-F238E27FC236}">
              <a16:creationId xmlns:a16="http://schemas.microsoft.com/office/drawing/2014/main" id="{C2627C81-0E6C-497F-93BD-63D80DE6B028}"/>
            </a:ext>
          </a:extLst>
        </xdr:cNvPr>
        <xdr:cNvSpPr>
          <a:spLocks noChangeAspect="1" noChangeArrowheads="1"/>
        </xdr:cNvSpPr>
      </xdr:nvSpPr>
      <xdr:spPr bwMode="auto">
        <a:xfrm>
          <a:off x="1104900" y="11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120650</xdr:rowOff>
    </xdr:to>
    <xdr:sp macro="" textlink="">
      <xdr:nvSpPr>
        <xdr:cNvPr id="10" name="AutoShape 39">
          <a:extLst>
            <a:ext uri="{FF2B5EF4-FFF2-40B4-BE49-F238E27FC236}">
              <a16:creationId xmlns:a16="http://schemas.microsoft.com/office/drawing/2014/main" id="{13D0BE98-0332-4E5E-BA11-B0D902EB1267}"/>
            </a:ext>
          </a:extLst>
        </xdr:cNvPr>
        <xdr:cNvSpPr>
          <a:spLocks noChangeAspect="1" noChangeArrowheads="1"/>
        </xdr:cNvSpPr>
      </xdr:nvSpPr>
      <xdr:spPr bwMode="auto">
        <a:xfrm>
          <a:off x="1104900" y="12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120650</xdr:rowOff>
    </xdr:to>
    <xdr:sp macro="" textlink="">
      <xdr:nvSpPr>
        <xdr:cNvPr id="11" name="AutoShape 40">
          <a:extLst>
            <a:ext uri="{FF2B5EF4-FFF2-40B4-BE49-F238E27FC236}">
              <a16:creationId xmlns:a16="http://schemas.microsoft.com/office/drawing/2014/main" id="{F178EFCD-566A-4EED-9CC6-FA3E331BD99B}"/>
            </a:ext>
          </a:extLst>
        </xdr:cNvPr>
        <xdr:cNvSpPr>
          <a:spLocks noChangeAspect="1" noChangeArrowheads="1"/>
        </xdr:cNvSpPr>
      </xdr:nvSpPr>
      <xdr:spPr bwMode="auto">
        <a:xfrm>
          <a:off x="1104900" y="14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9</xdr:row>
      <xdr:rowOff>120650</xdr:rowOff>
    </xdr:to>
    <xdr:sp macro="" textlink="">
      <xdr:nvSpPr>
        <xdr:cNvPr id="12" name="AutoShape 41">
          <a:extLst>
            <a:ext uri="{FF2B5EF4-FFF2-40B4-BE49-F238E27FC236}">
              <a16:creationId xmlns:a16="http://schemas.microsoft.com/office/drawing/2014/main" id="{0C9F9206-90B8-48D0-B89C-1B9B2BAD4503}"/>
            </a:ext>
          </a:extLst>
        </xdr:cNvPr>
        <xdr:cNvSpPr>
          <a:spLocks noChangeAspect="1" noChangeArrowheads="1"/>
        </xdr:cNvSpPr>
      </xdr:nvSpPr>
      <xdr:spPr bwMode="auto">
        <a:xfrm>
          <a:off x="1104900" y="165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10</xdr:row>
      <xdr:rowOff>120650</xdr:rowOff>
    </xdr:to>
    <xdr:sp macro="" textlink="">
      <xdr:nvSpPr>
        <xdr:cNvPr id="13" name="AutoShape 42">
          <a:extLst>
            <a:ext uri="{FF2B5EF4-FFF2-40B4-BE49-F238E27FC236}">
              <a16:creationId xmlns:a16="http://schemas.microsoft.com/office/drawing/2014/main" id="{3DED59DE-DF6E-441F-9511-B04EA0E8B7FC}"/>
            </a:ext>
          </a:extLst>
        </xdr:cNvPr>
        <xdr:cNvSpPr>
          <a:spLocks noChangeAspect="1" noChangeArrowheads="1"/>
        </xdr:cNvSpPr>
      </xdr:nvSpPr>
      <xdr:spPr bwMode="auto">
        <a:xfrm>
          <a:off x="1104900" y="18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120650</xdr:rowOff>
    </xdr:to>
    <xdr:sp macro="" textlink="">
      <xdr:nvSpPr>
        <xdr:cNvPr id="14" name="AutoShape 43">
          <a:extLst>
            <a:ext uri="{FF2B5EF4-FFF2-40B4-BE49-F238E27FC236}">
              <a16:creationId xmlns:a16="http://schemas.microsoft.com/office/drawing/2014/main" id="{3D4CB1A8-EB8E-437C-828C-11ACC6342932}"/>
            </a:ext>
          </a:extLst>
        </xdr:cNvPr>
        <xdr:cNvSpPr>
          <a:spLocks noChangeAspect="1" noChangeArrowheads="1"/>
        </xdr:cNvSpPr>
      </xdr:nvSpPr>
      <xdr:spPr bwMode="auto">
        <a:xfrm>
          <a:off x="1104900" y="20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120650</xdr:rowOff>
    </xdr:to>
    <xdr:sp macro="" textlink="">
      <xdr:nvSpPr>
        <xdr:cNvPr id="15" name="AutoShape 44">
          <a:extLst>
            <a:ext uri="{FF2B5EF4-FFF2-40B4-BE49-F238E27FC236}">
              <a16:creationId xmlns:a16="http://schemas.microsoft.com/office/drawing/2014/main" id="{4625BD10-CBCB-4239-AA1F-ECEF7EE5501B}"/>
            </a:ext>
          </a:extLst>
        </xdr:cNvPr>
        <xdr:cNvSpPr>
          <a:spLocks noChangeAspect="1" noChangeArrowheads="1"/>
        </xdr:cNvSpPr>
      </xdr:nvSpPr>
      <xdr:spPr bwMode="auto">
        <a:xfrm>
          <a:off x="1104900" y="22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13</xdr:row>
      <xdr:rowOff>120650</xdr:rowOff>
    </xdr:to>
    <xdr:sp macro="" textlink="">
      <xdr:nvSpPr>
        <xdr:cNvPr id="16" name="AutoShape 45">
          <a:extLst>
            <a:ext uri="{FF2B5EF4-FFF2-40B4-BE49-F238E27FC236}">
              <a16:creationId xmlns:a16="http://schemas.microsoft.com/office/drawing/2014/main" id="{7584FD2F-AA98-4AFE-A2F2-1C55E3687AE4}"/>
            </a:ext>
          </a:extLst>
        </xdr:cNvPr>
        <xdr:cNvSpPr>
          <a:spLocks noChangeAspect="1" noChangeArrowheads="1"/>
        </xdr:cNvSpPr>
      </xdr:nvSpPr>
      <xdr:spPr bwMode="auto">
        <a:xfrm>
          <a:off x="1104900" y="239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14</xdr:row>
      <xdr:rowOff>120650</xdr:rowOff>
    </xdr:to>
    <xdr:sp macro="" textlink="">
      <xdr:nvSpPr>
        <xdr:cNvPr id="17" name="AutoShape 46">
          <a:extLst>
            <a:ext uri="{FF2B5EF4-FFF2-40B4-BE49-F238E27FC236}">
              <a16:creationId xmlns:a16="http://schemas.microsoft.com/office/drawing/2014/main" id="{5E2C4C87-97BF-4FC5-B1D1-F59C8C546735}"/>
            </a:ext>
          </a:extLst>
        </xdr:cNvPr>
        <xdr:cNvSpPr>
          <a:spLocks noChangeAspect="1" noChangeArrowheads="1"/>
        </xdr:cNvSpPr>
      </xdr:nvSpPr>
      <xdr:spPr bwMode="auto">
        <a:xfrm>
          <a:off x="1104900" y="25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15</xdr:row>
      <xdr:rowOff>120650</xdr:rowOff>
    </xdr:to>
    <xdr:sp macro="" textlink="">
      <xdr:nvSpPr>
        <xdr:cNvPr id="18" name="AutoShape 47">
          <a:extLst>
            <a:ext uri="{FF2B5EF4-FFF2-40B4-BE49-F238E27FC236}">
              <a16:creationId xmlns:a16="http://schemas.microsoft.com/office/drawing/2014/main" id="{141C502C-ED85-4EEE-B99D-8FC5518D842A}"/>
            </a:ext>
          </a:extLst>
        </xdr:cNvPr>
        <xdr:cNvSpPr>
          <a:spLocks noChangeAspect="1" noChangeArrowheads="1"/>
        </xdr:cNvSpPr>
      </xdr:nvSpPr>
      <xdr:spPr bwMode="auto">
        <a:xfrm>
          <a:off x="110490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16</xdr:row>
      <xdr:rowOff>120650</xdr:rowOff>
    </xdr:to>
    <xdr:sp macro="" textlink="">
      <xdr:nvSpPr>
        <xdr:cNvPr id="19" name="AutoShape 48">
          <a:extLst>
            <a:ext uri="{FF2B5EF4-FFF2-40B4-BE49-F238E27FC236}">
              <a16:creationId xmlns:a16="http://schemas.microsoft.com/office/drawing/2014/main" id="{9D91A92E-B1A2-4141-8FDE-891E65D51148}"/>
            </a:ext>
          </a:extLst>
        </xdr:cNvPr>
        <xdr:cNvSpPr>
          <a:spLocks noChangeAspect="1" noChangeArrowheads="1"/>
        </xdr:cNvSpPr>
      </xdr:nvSpPr>
      <xdr:spPr bwMode="auto">
        <a:xfrm>
          <a:off x="1104900" y="29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17</xdr:row>
      <xdr:rowOff>120650</xdr:rowOff>
    </xdr:to>
    <xdr:sp macro="" textlink="">
      <xdr:nvSpPr>
        <xdr:cNvPr id="20" name="AutoShape 49">
          <a:extLst>
            <a:ext uri="{FF2B5EF4-FFF2-40B4-BE49-F238E27FC236}">
              <a16:creationId xmlns:a16="http://schemas.microsoft.com/office/drawing/2014/main" id="{B52A74B1-903E-4192-ACA7-F41A2F271ACD}"/>
            </a:ext>
          </a:extLst>
        </xdr:cNvPr>
        <xdr:cNvSpPr>
          <a:spLocks noChangeAspect="1" noChangeArrowheads="1"/>
        </xdr:cNvSpPr>
      </xdr:nvSpPr>
      <xdr:spPr bwMode="auto">
        <a:xfrm>
          <a:off x="1104900" y="31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18</xdr:row>
      <xdr:rowOff>120650</xdr:rowOff>
    </xdr:to>
    <xdr:sp macro="" textlink="">
      <xdr:nvSpPr>
        <xdr:cNvPr id="21" name="AutoShape 50">
          <a:extLst>
            <a:ext uri="{FF2B5EF4-FFF2-40B4-BE49-F238E27FC236}">
              <a16:creationId xmlns:a16="http://schemas.microsoft.com/office/drawing/2014/main" id="{7992AC31-A831-4D3F-95E3-6504A46682F3}"/>
            </a:ext>
          </a:extLst>
        </xdr:cNvPr>
        <xdr:cNvSpPr>
          <a:spLocks noChangeAspect="1" noChangeArrowheads="1"/>
        </xdr:cNvSpPr>
      </xdr:nvSpPr>
      <xdr:spPr bwMode="auto">
        <a:xfrm>
          <a:off x="1104900" y="3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19</xdr:row>
      <xdr:rowOff>120650</xdr:rowOff>
    </xdr:to>
    <xdr:sp macro="" textlink="">
      <xdr:nvSpPr>
        <xdr:cNvPr id="22" name="AutoShape 51">
          <a:extLst>
            <a:ext uri="{FF2B5EF4-FFF2-40B4-BE49-F238E27FC236}">
              <a16:creationId xmlns:a16="http://schemas.microsoft.com/office/drawing/2014/main" id="{D95FD9D2-8023-4EAF-B50E-37AB9944617E}"/>
            </a:ext>
          </a:extLst>
        </xdr:cNvPr>
        <xdr:cNvSpPr>
          <a:spLocks noChangeAspect="1" noChangeArrowheads="1"/>
        </xdr:cNvSpPr>
      </xdr:nvSpPr>
      <xdr:spPr bwMode="auto">
        <a:xfrm>
          <a:off x="1104900" y="349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20</xdr:row>
      <xdr:rowOff>120650</xdr:rowOff>
    </xdr:to>
    <xdr:sp macro="" textlink="">
      <xdr:nvSpPr>
        <xdr:cNvPr id="23" name="AutoShape 52">
          <a:extLst>
            <a:ext uri="{FF2B5EF4-FFF2-40B4-BE49-F238E27FC236}">
              <a16:creationId xmlns:a16="http://schemas.microsoft.com/office/drawing/2014/main" id="{B8573654-D99A-4C75-A081-36CA2121444E}"/>
            </a:ext>
          </a:extLst>
        </xdr:cNvPr>
        <xdr:cNvSpPr>
          <a:spLocks noChangeAspect="1" noChangeArrowheads="1"/>
        </xdr:cNvSpPr>
      </xdr:nvSpPr>
      <xdr:spPr bwMode="auto">
        <a:xfrm>
          <a:off x="110490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21</xdr:row>
      <xdr:rowOff>120650</xdr:rowOff>
    </xdr:to>
    <xdr:sp macro="" textlink="">
      <xdr:nvSpPr>
        <xdr:cNvPr id="24" name="AutoShape 53">
          <a:extLst>
            <a:ext uri="{FF2B5EF4-FFF2-40B4-BE49-F238E27FC236}">
              <a16:creationId xmlns:a16="http://schemas.microsoft.com/office/drawing/2014/main" id="{F19CE871-0EC7-44A6-9BC5-E2AD26D0B9F7}"/>
            </a:ext>
          </a:extLst>
        </xdr:cNvPr>
        <xdr:cNvSpPr>
          <a:spLocks noChangeAspect="1" noChangeArrowheads="1"/>
        </xdr:cNvSpPr>
      </xdr:nvSpPr>
      <xdr:spPr bwMode="auto">
        <a:xfrm>
          <a:off x="1104900" y="38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22</xdr:row>
      <xdr:rowOff>120650</xdr:rowOff>
    </xdr:to>
    <xdr:sp macro="" textlink="">
      <xdr:nvSpPr>
        <xdr:cNvPr id="25" name="AutoShape 54">
          <a:extLst>
            <a:ext uri="{FF2B5EF4-FFF2-40B4-BE49-F238E27FC236}">
              <a16:creationId xmlns:a16="http://schemas.microsoft.com/office/drawing/2014/main" id="{A34FFFBC-61D3-4E3F-97FC-E905D41FF599}"/>
            </a:ext>
          </a:extLst>
        </xdr:cNvPr>
        <xdr:cNvSpPr>
          <a:spLocks noChangeAspect="1" noChangeArrowheads="1"/>
        </xdr:cNvSpPr>
      </xdr:nvSpPr>
      <xdr:spPr bwMode="auto">
        <a:xfrm>
          <a:off x="1104900" y="40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23</xdr:row>
      <xdr:rowOff>120650</xdr:rowOff>
    </xdr:to>
    <xdr:sp macro="" textlink="">
      <xdr:nvSpPr>
        <xdr:cNvPr id="26" name="AutoShape 55">
          <a:extLst>
            <a:ext uri="{FF2B5EF4-FFF2-40B4-BE49-F238E27FC236}">
              <a16:creationId xmlns:a16="http://schemas.microsoft.com/office/drawing/2014/main" id="{EB895239-4396-4D6B-A380-142EFDB46601}"/>
            </a:ext>
          </a:extLst>
        </xdr:cNvPr>
        <xdr:cNvSpPr>
          <a:spLocks noChangeAspect="1" noChangeArrowheads="1"/>
        </xdr:cNvSpPr>
      </xdr:nvSpPr>
      <xdr:spPr bwMode="auto">
        <a:xfrm>
          <a:off x="1104900" y="42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24</xdr:row>
      <xdr:rowOff>120650</xdr:rowOff>
    </xdr:to>
    <xdr:sp macro="" textlink="">
      <xdr:nvSpPr>
        <xdr:cNvPr id="27" name="AutoShape 56">
          <a:extLst>
            <a:ext uri="{FF2B5EF4-FFF2-40B4-BE49-F238E27FC236}">
              <a16:creationId xmlns:a16="http://schemas.microsoft.com/office/drawing/2014/main" id="{66DAFD16-9B6F-43D6-A739-9C7892D15218}"/>
            </a:ext>
          </a:extLst>
        </xdr:cNvPr>
        <xdr:cNvSpPr>
          <a:spLocks noChangeAspect="1" noChangeArrowheads="1"/>
        </xdr:cNvSpPr>
      </xdr:nvSpPr>
      <xdr:spPr bwMode="auto">
        <a:xfrm>
          <a:off x="1104900" y="44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25</xdr:row>
      <xdr:rowOff>120650</xdr:rowOff>
    </xdr:to>
    <xdr:sp macro="" textlink="">
      <xdr:nvSpPr>
        <xdr:cNvPr id="28" name="AutoShape 57">
          <a:extLst>
            <a:ext uri="{FF2B5EF4-FFF2-40B4-BE49-F238E27FC236}">
              <a16:creationId xmlns:a16="http://schemas.microsoft.com/office/drawing/2014/main" id="{1D741FC9-CAF9-4B08-B495-1D8249A74EF0}"/>
            </a:ext>
          </a:extLst>
        </xdr:cNvPr>
        <xdr:cNvSpPr>
          <a:spLocks noChangeAspect="1" noChangeArrowheads="1"/>
        </xdr:cNvSpPr>
      </xdr:nvSpPr>
      <xdr:spPr bwMode="auto">
        <a:xfrm>
          <a:off x="1104900" y="460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26</xdr:row>
      <xdr:rowOff>120650</xdr:rowOff>
    </xdr:to>
    <xdr:sp macro="" textlink="">
      <xdr:nvSpPr>
        <xdr:cNvPr id="29" name="AutoShape 58">
          <a:extLst>
            <a:ext uri="{FF2B5EF4-FFF2-40B4-BE49-F238E27FC236}">
              <a16:creationId xmlns:a16="http://schemas.microsoft.com/office/drawing/2014/main" id="{876310D9-752A-44D6-829A-B0F5B286E48E}"/>
            </a:ext>
          </a:extLst>
        </xdr:cNvPr>
        <xdr:cNvSpPr>
          <a:spLocks noChangeAspect="1" noChangeArrowheads="1"/>
        </xdr:cNvSpPr>
      </xdr:nvSpPr>
      <xdr:spPr bwMode="auto">
        <a:xfrm>
          <a:off x="1104900" y="47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304800</xdr:colOff>
      <xdr:row>27</xdr:row>
      <xdr:rowOff>120650</xdr:rowOff>
    </xdr:to>
    <xdr:sp macro="" textlink="">
      <xdr:nvSpPr>
        <xdr:cNvPr id="30" name="AutoShape 59">
          <a:extLst>
            <a:ext uri="{FF2B5EF4-FFF2-40B4-BE49-F238E27FC236}">
              <a16:creationId xmlns:a16="http://schemas.microsoft.com/office/drawing/2014/main" id="{EE27F01F-D3D0-4C83-BE7D-0EB3D8B12867}"/>
            </a:ext>
          </a:extLst>
        </xdr:cNvPr>
        <xdr:cNvSpPr>
          <a:spLocks noChangeAspect="1" noChangeArrowheads="1"/>
        </xdr:cNvSpPr>
      </xdr:nvSpPr>
      <xdr:spPr bwMode="auto">
        <a:xfrm>
          <a:off x="1104900" y="497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28</xdr:row>
      <xdr:rowOff>120650</xdr:rowOff>
    </xdr:to>
    <xdr:sp macro="" textlink="">
      <xdr:nvSpPr>
        <xdr:cNvPr id="31" name="AutoShape 60">
          <a:extLst>
            <a:ext uri="{FF2B5EF4-FFF2-40B4-BE49-F238E27FC236}">
              <a16:creationId xmlns:a16="http://schemas.microsoft.com/office/drawing/2014/main" id="{FD4D0770-5B5B-4067-8265-E7A468A6F57E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15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29</xdr:row>
      <xdr:rowOff>120650</xdr:rowOff>
    </xdr:to>
    <xdr:sp macro="" textlink="">
      <xdr:nvSpPr>
        <xdr:cNvPr id="32" name="AutoShape 61">
          <a:extLst>
            <a:ext uri="{FF2B5EF4-FFF2-40B4-BE49-F238E27FC236}">
              <a16:creationId xmlns:a16="http://schemas.microsoft.com/office/drawing/2014/main" id="{C739F8C6-818A-4B03-A57D-A186B2243D43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3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30</xdr:row>
      <xdr:rowOff>120650</xdr:rowOff>
    </xdr:to>
    <xdr:sp macro="" textlink="">
      <xdr:nvSpPr>
        <xdr:cNvPr id="33" name="AutoShape 62">
          <a:extLst>
            <a:ext uri="{FF2B5EF4-FFF2-40B4-BE49-F238E27FC236}">
              <a16:creationId xmlns:a16="http://schemas.microsoft.com/office/drawing/2014/main" id="{561C31C3-9BC8-45F2-B5AA-F4B2F5EC5223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31</xdr:row>
      <xdr:rowOff>120650</xdr:rowOff>
    </xdr:to>
    <xdr:sp macro="" textlink="">
      <xdr:nvSpPr>
        <xdr:cNvPr id="34" name="AutoShape 63">
          <a:extLst>
            <a:ext uri="{FF2B5EF4-FFF2-40B4-BE49-F238E27FC236}">
              <a16:creationId xmlns:a16="http://schemas.microsoft.com/office/drawing/2014/main" id="{11E35280-8CDF-428E-9793-083C5BCAFB5B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7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32</xdr:row>
      <xdr:rowOff>120650</xdr:rowOff>
    </xdr:to>
    <xdr:sp macro="" textlink="">
      <xdr:nvSpPr>
        <xdr:cNvPr id="35" name="AutoShape 64">
          <a:extLst>
            <a:ext uri="{FF2B5EF4-FFF2-40B4-BE49-F238E27FC236}">
              <a16:creationId xmlns:a16="http://schemas.microsoft.com/office/drawing/2014/main" id="{D12E6D6A-8EFD-479D-87E8-A2121183D2AD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8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33</xdr:row>
      <xdr:rowOff>120650</xdr:rowOff>
    </xdr:to>
    <xdr:sp macro="" textlink="">
      <xdr:nvSpPr>
        <xdr:cNvPr id="36" name="AutoShape 65">
          <a:extLst>
            <a:ext uri="{FF2B5EF4-FFF2-40B4-BE49-F238E27FC236}">
              <a16:creationId xmlns:a16="http://schemas.microsoft.com/office/drawing/2014/main" id="{E011A2EF-7559-4F6F-9BA6-D832C2F4B158}"/>
            </a:ext>
          </a:extLst>
        </xdr:cNvPr>
        <xdr:cNvSpPr>
          <a:spLocks noChangeAspect="1" noChangeArrowheads="1"/>
        </xdr:cNvSpPr>
      </xdr:nvSpPr>
      <xdr:spPr bwMode="auto">
        <a:xfrm>
          <a:off x="1104900" y="607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34</xdr:row>
      <xdr:rowOff>120650</xdr:rowOff>
    </xdr:to>
    <xdr:sp macro="" textlink="">
      <xdr:nvSpPr>
        <xdr:cNvPr id="37" name="AutoShape 66">
          <a:extLst>
            <a:ext uri="{FF2B5EF4-FFF2-40B4-BE49-F238E27FC236}">
              <a16:creationId xmlns:a16="http://schemas.microsoft.com/office/drawing/2014/main" id="{1784BB5A-FB54-4160-ACC0-EAF3E146DC95}"/>
            </a:ext>
          </a:extLst>
        </xdr:cNvPr>
        <xdr:cNvSpPr>
          <a:spLocks noChangeAspect="1" noChangeArrowheads="1"/>
        </xdr:cNvSpPr>
      </xdr:nvSpPr>
      <xdr:spPr bwMode="auto">
        <a:xfrm>
          <a:off x="1104900" y="62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35</xdr:row>
      <xdr:rowOff>120650</xdr:rowOff>
    </xdr:to>
    <xdr:sp macro="" textlink="">
      <xdr:nvSpPr>
        <xdr:cNvPr id="38" name="AutoShape 67">
          <a:extLst>
            <a:ext uri="{FF2B5EF4-FFF2-40B4-BE49-F238E27FC236}">
              <a16:creationId xmlns:a16="http://schemas.microsoft.com/office/drawing/2014/main" id="{8902C654-3163-43EF-8768-C6F93483C706}"/>
            </a:ext>
          </a:extLst>
        </xdr:cNvPr>
        <xdr:cNvSpPr>
          <a:spLocks noChangeAspect="1" noChangeArrowheads="1"/>
        </xdr:cNvSpPr>
      </xdr:nvSpPr>
      <xdr:spPr bwMode="auto">
        <a:xfrm>
          <a:off x="1104900" y="644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36</xdr:row>
      <xdr:rowOff>120650</xdr:rowOff>
    </xdr:to>
    <xdr:sp macro="" textlink="">
      <xdr:nvSpPr>
        <xdr:cNvPr id="39" name="AutoShape 68">
          <a:extLst>
            <a:ext uri="{FF2B5EF4-FFF2-40B4-BE49-F238E27FC236}">
              <a16:creationId xmlns:a16="http://schemas.microsoft.com/office/drawing/2014/main" id="{AA5B82C5-74D4-4543-B28C-9B38937F140E}"/>
            </a:ext>
          </a:extLst>
        </xdr:cNvPr>
        <xdr:cNvSpPr>
          <a:spLocks noChangeAspect="1" noChangeArrowheads="1"/>
        </xdr:cNvSpPr>
      </xdr:nvSpPr>
      <xdr:spPr bwMode="auto">
        <a:xfrm>
          <a:off x="1104900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37</xdr:row>
      <xdr:rowOff>120650</xdr:rowOff>
    </xdr:to>
    <xdr:sp macro="" textlink="">
      <xdr:nvSpPr>
        <xdr:cNvPr id="40" name="AutoShape 69">
          <a:extLst>
            <a:ext uri="{FF2B5EF4-FFF2-40B4-BE49-F238E27FC236}">
              <a16:creationId xmlns:a16="http://schemas.microsoft.com/office/drawing/2014/main" id="{19658B4F-BDB2-4B56-BABD-77396BE8A451}"/>
            </a:ext>
          </a:extLst>
        </xdr:cNvPr>
        <xdr:cNvSpPr>
          <a:spLocks noChangeAspect="1" noChangeArrowheads="1"/>
        </xdr:cNvSpPr>
      </xdr:nvSpPr>
      <xdr:spPr bwMode="auto">
        <a:xfrm>
          <a:off x="1104900" y="68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120650</xdr:rowOff>
    </xdr:to>
    <xdr:sp macro="" textlink="">
      <xdr:nvSpPr>
        <xdr:cNvPr id="2" name="AutoShape 31">
          <a:extLst>
            <a:ext uri="{FF2B5EF4-FFF2-40B4-BE49-F238E27FC236}">
              <a16:creationId xmlns:a16="http://schemas.microsoft.com/office/drawing/2014/main" id="{A050E4CD-34AB-47BC-8F4A-C89E761BD4D9}"/>
            </a:ext>
          </a:extLst>
        </xdr:cNvPr>
        <xdr:cNvSpPr>
          <a:spLocks noChangeAspect="1" noChangeArrowheads="1"/>
        </xdr:cNvSpPr>
      </xdr:nvSpPr>
      <xdr:spPr bwMode="auto">
        <a:xfrm>
          <a:off x="12446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120650</xdr:rowOff>
    </xdr:to>
    <xdr:sp macro="" textlink="">
      <xdr:nvSpPr>
        <xdr:cNvPr id="3" name="AutoShape 32">
          <a:extLst>
            <a:ext uri="{FF2B5EF4-FFF2-40B4-BE49-F238E27FC236}">
              <a16:creationId xmlns:a16="http://schemas.microsoft.com/office/drawing/2014/main" id="{B6D861F3-34C1-4D07-BF98-1486BC4E6DDC}"/>
            </a:ext>
          </a:extLst>
        </xdr:cNvPr>
        <xdr:cNvSpPr>
          <a:spLocks noChangeAspect="1" noChangeArrowheads="1"/>
        </xdr:cNvSpPr>
      </xdr:nvSpPr>
      <xdr:spPr bwMode="auto">
        <a:xfrm>
          <a:off x="12446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120650</xdr:rowOff>
    </xdr:to>
    <xdr:sp macro="" textlink="">
      <xdr:nvSpPr>
        <xdr:cNvPr id="4" name="AutoShape 33">
          <a:extLst>
            <a:ext uri="{FF2B5EF4-FFF2-40B4-BE49-F238E27FC236}">
              <a16:creationId xmlns:a16="http://schemas.microsoft.com/office/drawing/2014/main" id="{55F829CF-9D4C-4593-86A1-A157012A2122}"/>
            </a:ext>
          </a:extLst>
        </xdr:cNvPr>
        <xdr:cNvSpPr>
          <a:spLocks noChangeAspect="1" noChangeArrowheads="1"/>
        </xdr:cNvSpPr>
      </xdr:nvSpPr>
      <xdr:spPr bwMode="auto">
        <a:xfrm>
          <a:off x="1244600" y="3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120650</xdr:rowOff>
    </xdr:to>
    <xdr:sp macro="" textlink="">
      <xdr:nvSpPr>
        <xdr:cNvPr id="5" name="AutoShape 34">
          <a:extLst>
            <a:ext uri="{FF2B5EF4-FFF2-40B4-BE49-F238E27FC236}">
              <a16:creationId xmlns:a16="http://schemas.microsoft.com/office/drawing/2014/main" id="{B886A548-D386-4DF7-B362-064CF3DFD585}"/>
            </a:ext>
          </a:extLst>
        </xdr:cNvPr>
        <xdr:cNvSpPr>
          <a:spLocks noChangeAspect="1" noChangeArrowheads="1"/>
        </xdr:cNvSpPr>
      </xdr:nvSpPr>
      <xdr:spPr bwMode="auto">
        <a:xfrm>
          <a:off x="1244600" y="5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4</xdr:row>
      <xdr:rowOff>120650</xdr:rowOff>
    </xdr:to>
    <xdr:sp macro="" textlink="">
      <xdr:nvSpPr>
        <xdr:cNvPr id="6" name="AutoShape 35">
          <a:extLst>
            <a:ext uri="{FF2B5EF4-FFF2-40B4-BE49-F238E27FC236}">
              <a16:creationId xmlns:a16="http://schemas.microsoft.com/office/drawing/2014/main" id="{792A937C-15C3-4AB4-B7A7-647821C9D060}"/>
            </a:ext>
          </a:extLst>
        </xdr:cNvPr>
        <xdr:cNvSpPr>
          <a:spLocks noChangeAspect="1" noChangeArrowheads="1"/>
        </xdr:cNvSpPr>
      </xdr:nvSpPr>
      <xdr:spPr bwMode="auto">
        <a:xfrm>
          <a:off x="1244600" y="7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120650</xdr:rowOff>
    </xdr:to>
    <xdr:sp macro="" textlink="">
      <xdr:nvSpPr>
        <xdr:cNvPr id="7" name="AutoShape 36">
          <a:extLst>
            <a:ext uri="{FF2B5EF4-FFF2-40B4-BE49-F238E27FC236}">
              <a16:creationId xmlns:a16="http://schemas.microsoft.com/office/drawing/2014/main" id="{DDDB041E-FBD7-4CE0-A967-DFD4910CE5F3}"/>
            </a:ext>
          </a:extLst>
        </xdr:cNvPr>
        <xdr:cNvSpPr>
          <a:spLocks noChangeAspect="1" noChangeArrowheads="1"/>
        </xdr:cNvSpPr>
      </xdr:nvSpPr>
      <xdr:spPr bwMode="auto">
        <a:xfrm>
          <a:off x="1244600" y="9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120650</xdr:rowOff>
    </xdr:to>
    <xdr:sp macro="" textlink="">
      <xdr:nvSpPr>
        <xdr:cNvPr id="8" name="AutoShape 37">
          <a:extLst>
            <a:ext uri="{FF2B5EF4-FFF2-40B4-BE49-F238E27FC236}">
              <a16:creationId xmlns:a16="http://schemas.microsoft.com/office/drawing/2014/main" id="{A2683536-8C61-44A8-9EB8-CAE70CA4CD9D}"/>
            </a:ext>
          </a:extLst>
        </xdr:cNvPr>
        <xdr:cNvSpPr>
          <a:spLocks noChangeAspect="1" noChangeArrowheads="1"/>
        </xdr:cNvSpPr>
      </xdr:nvSpPr>
      <xdr:spPr bwMode="auto">
        <a:xfrm>
          <a:off x="1244600" y="11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120650</xdr:rowOff>
    </xdr:to>
    <xdr:sp macro="" textlink="">
      <xdr:nvSpPr>
        <xdr:cNvPr id="9" name="AutoShape 38">
          <a:extLst>
            <a:ext uri="{FF2B5EF4-FFF2-40B4-BE49-F238E27FC236}">
              <a16:creationId xmlns:a16="http://schemas.microsoft.com/office/drawing/2014/main" id="{4983D2E5-A1A4-4584-8103-0AB822B11E7A}"/>
            </a:ext>
          </a:extLst>
        </xdr:cNvPr>
        <xdr:cNvSpPr>
          <a:spLocks noChangeAspect="1" noChangeArrowheads="1"/>
        </xdr:cNvSpPr>
      </xdr:nvSpPr>
      <xdr:spPr bwMode="auto">
        <a:xfrm>
          <a:off x="1244600" y="12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120650</xdr:rowOff>
    </xdr:to>
    <xdr:sp macro="" textlink="">
      <xdr:nvSpPr>
        <xdr:cNvPr id="10" name="AutoShape 39">
          <a:extLst>
            <a:ext uri="{FF2B5EF4-FFF2-40B4-BE49-F238E27FC236}">
              <a16:creationId xmlns:a16="http://schemas.microsoft.com/office/drawing/2014/main" id="{1129966F-5DDD-4C90-B58A-F06351272D96}"/>
            </a:ext>
          </a:extLst>
        </xdr:cNvPr>
        <xdr:cNvSpPr>
          <a:spLocks noChangeAspect="1" noChangeArrowheads="1"/>
        </xdr:cNvSpPr>
      </xdr:nvSpPr>
      <xdr:spPr bwMode="auto">
        <a:xfrm>
          <a:off x="1244600" y="14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9</xdr:row>
      <xdr:rowOff>120650</xdr:rowOff>
    </xdr:to>
    <xdr:sp macro="" textlink="">
      <xdr:nvSpPr>
        <xdr:cNvPr id="11" name="AutoShape 40">
          <a:extLst>
            <a:ext uri="{FF2B5EF4-FFF2-40B4-BE49-F238E27FC236}">
              <a16:creationId xmlns:a16="http://schemas.microsoft.com/office/drawing/2014/main" id="{F97E5D23-33A1-4ECD-8A73-7A2DADEA145D}"/>
            </a:ext>
          </a:extLst>
        </xdr:cNvPr>
        <xdr:cNvSpPr>
          <a:spLocks noChangeAspect="1" noChangeArrowheads="1"/>
        </xdr:cNvSpPr>
      </xdr:nvSpPr>
      <xdr:spPr bwMode="auto">
        <a:xfrm>
          <a:off x="1244600" y="165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10</xdr:row>
      <xdr:rowOff>120650</xdr:rowOff>
    </xdr:to>
    <xdr:sp macro="" textlink="">
      <xdr:nvSpPr>
        <xdr:cNvPr id="12" name="AutoShape 41">
          <a:extLst>
            <a:ext uri="{FF2B5EF4-FFF2-40B4-BE49-F238E27FC236}">
              <a16:creationId xmlns:a16="http://schemas.microsoft.com/office/drawing/2014/main" id="{B21EE077-F98F-42C8-A371-664A809E90B8}"/>
            </a:ext>
          </a:extLst>
        </xdr:cNvPr>
        <xdr:cNvSpPr>
          <a:spLocks noChangeAspect="1" noChangeArrowheads="1"/>
        </xdr:cNvSpPr>
      </xdr:nvSpPr>
      <xdr:spPr bwMode="auto">
        <a:xfrm>
          <a:off x="1244600" y="18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120650</xdr:rowOff>
    </xdr:to>
    <xdr:sp macro="" textlink="">
      <xdr:nvSpPr>
        <xdr:cNvPr id="13" name="AutoShape 42">
          <a:extLst>
            <a:ext uri="{FF2B5EF4-FFF2-40B4-BE49-F238E27FC236}">
              <a16:creationId xmlns:a16="http://schemas.microsoft.com/office/drawing/2014/main" id="{30A6C2E2-83B0-4DEC-9500-81B8F466E79E}"/>
            </a:ext>
          </a:extLst>
        </xdr:cNvPr>
        <xdr:cNvSpPr>
          <a:spLocks noChangeAspect="1" noChangeArrowheads="1"/>
        </xdr:cNvSpPr>
      </xdr:nvSpPr>
      <xdr:spPr bwMode="auto">
        <a:xfrm>
          <a:off x="1244600" y="20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120650</xdr:rowOff>
    </xdr:to>
    <xdr:sp macro="" textlink="">
      <xdr:nvSpPr>
        <xdr:cNvPr id="14" name="AutoShape 43">
          <a:extLst>
            <a:ext uri="{FF2B5EF4-FFF2-40B4-BE49-F238E27FC236}">
              <a16:creationId xmlns:a16="http://schemas.microsoft.com/office/drawing/2014/main" id="{7E70FF25-692E-4ACA-99ED-15B23D5B45D0}"/>
            </a:ext>
          </a:extLst>
        </xdr:cNvPr>
        <xdr:cNvSpPr>
          <a:spLocks noChangeAspect="1" noChangeArrowheads="1"/>
        </xdr:cNvSpPr>
      </xdr:nvSpPr>
      <xdr:spPr bwMode="auto">
        <a:xfrm>
          <a:off x="1244600" y="22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13</xdr:row>
      <xdr:rowOff>120650</xdr:rowOff>
    </xdr:to>
    <xdr:sp macro="" textlink="">
      <xdr:nvSpPr>
        <xdr:cNvPr id="15" name="AutoShape 44">
          <a:extLst>
            <a:ext uri="{FF2B5EF4-FFF2-40B4-BE49-F238E27FC236}">
              <a16:creationId xmlns:a16="http://schemas.microsoft.com/office/drawing/2014/main" id="{D14241BD-4D99-4B44-BF36-FA330DC41567}"/>
            </a:ext>
          </a:extLst>
        </xdr:cNvPr>
        <xdr:cNvSpPr>
          <a:spLocks noChangeAspect="1" noChangeArrowheads="1"/>
        </xdr:cNvSpPr>
      </xdr:nvSpPr>
      <xdr:spPr bwMode="auto">
        <a:xfrm>
          <a:off x="1244600" y="239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14</xdr:row>
      <xdr:rowOff>120650</xdr:rowOff>
    </xdr:to>
    <xdr:sp macro="" textlink="">
      <xdr:nvSpPr>
        <xdr:cNvPr id="16" name="AutoShape 45">
          <a:extLst>
            <a:ext uri="{FF2B5EF4-FFF2-40B4-BE49-F238E27FC236}">
              <a16:creationId xmlns:a16="http://schemas.microsoft.com/office/drawing/2014/main" id="{922CD3C3-593C-4BFD-AFD3-89DC852F32FE}"/>
            </a:ext>
          </a:extLst>
        </xdr:cNvPr>
        <xdr:cNvSpPr>
          <a:spLocks noChangeAspect="1" noChangeArrowheads="1"/>
        </xdr:cNvSpPr>
      </xdr:nvSpPr>
      <xdr:spPr bwMode="auto">
        <a:xfrm>
          <a:off x="1244600" y="25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15</xdr:row>
      <xdr:rowOff>120650</xdr:rowOff>
    </xdr:to>
    <xdr:sp macro="" textlink="">
      <xdr:nvSpPr>
        <xdr:cNvPr id="17" name="AutoShape 46">
          <a:extLst>
            <a:ext uri="{FF2B5EF4-FFF2-40B4-BE49-F238E27FC236}">
              <a16:creationId xmlns:a16="http://schemas.microsoft.com/office/drawing/2014/main" id="{4BE5BB1C-760A-4A78-96ED-824C804967BA}"/>
            </a:ext>
          </a:extLst>
        </xdr:cNvPr>
        <xdr:cNvSpPr>
          <a:spLocks noChangeAspect="1" noChangeArrowheads="1"/>
        </xdr:cNvSpPr>
      </xdr:nvSpPr>
      <xdr:spPr bwMode="auto">
        <a:xfrm>
          <a:off x="124460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16</xdr:row>
      <xdr:rowOff>120650</xdr:rowOff>
    </xdr:to>
    <xdr:sp macro="" textlink="">
      <xdr:nvSpPr>
        <xdr:cNvPr id="18" name="AutoShape 47">
          <a:extLst>
            <a:ext uri="{FF2B5EF4-FFF2-40B4-BE49-F238E27FC236}">
              <a16:creationId xmlns:a16="http://schemas.microsoft.com/office/drawing/2014/main" id="{83E36EB0-1975-466D-9EE9-307672CC60AF}"/>
            </a:ext>
          </a:extLst>
        </xdr:cNvPr>
        <xdr:cNvSpPr>
          <a:spLocks noChangeAspect="1" noChangeArrowheads="1"/>
        </xdr:cNvSpPr>
      </xdr:nvSpPr>
      <xdr:spPr bwMode="auto">
        <a:xfrm>
          <a:off x="1244600" y="29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17</xdr:row>
      <xdr:rowOff>120650</xdr:rowOff>
    </xdr:to>
    <xdr:sp macro="" textlink="">
      <xdr:nvSpPr>
        <xdr:cNvPr id="19" name="AutoShape 48">
          <a:extLst>
            <a:ext uri="{FF2B5EF4-FFF2-40B4-BE49-F238E27FC236}">
              <a16:creationId xmlns:a16="http://schemas.microsoft.com/office/drawing/2014/main" id="{269E2A51-7C49-4A35-A6F7-A7F43803E53B}"/>
            </a:ext>
          </a:extLst>
        </xdr:cNvPr>
        <xdr:cNvSpPr>
          <a:spLocks noChangeAspect="1" noChangeArrowheads="1"/>
        </xdr:cNvSpPr>
      </xdr:nvSpPr>
      <xdr:spPr bwMode="auto">
        <a:xfrm>
          <a:off x="1244600" y="31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18</xdr:row>
      <xdr:rowOff>120650</xdr:rowOff>
    </xdr:to>
    <xdr:sp macro="" textlink="">
      <xdr:nvSpPr>
        <xdr:cNvPr id="20" name="AutoShape 49">
          <a:extLst>
            <a:ext uri="{FF2B5EF4-FFF2-40B4-BE49-F238E27FC236}">
              <a16:creationId xmlns:a16="http://schemas.microsoft.com/office/drawing/2014/main" id="{A2EB5046-A381-46DE-8ED2-64F12A1FAAB7}"/>
            </a:ext>
          </a:extLst>
        </xdr:cNvPr>
        <xdr:cNvSpPr>
          <a:spLocks noChangeAspect="1" noChangeArrowheads="1"/>
        </xdr:cNvSpPr>
      </xdr:nvSpPr>
      <xdr:spPr bwMode="auto">
        <a:xfrm>
          <a:off x="1244600" y="3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19</xdr:row>
      <xdr:rowOff>120650</xdr:rowOff>
    </xdr:to>
    <xdr:sp macro="" textlink="">
      <xdr:nvSpPr>
        <xdr:cNvPr id="21" name="AutoShape 50">
          <a:extLst>
            <a:ext uri="{FF2B5EF4-FFF2-40B4-BE49-F238E27FC236}">
              <a16:creationId xmlns:a16="http://schemas.microsoft.com/office/drawing/2014/main" id="{909B2539-02DC-49C3-9E07-97EED16AF3DD}"/>
            </a:ext>
          </a:extLst>
        </xdr:cNvPr>
        <xdr:cNvSpPr>
          <a:spLocks noChangeAspect="1" noChangeArrowheads="1"/>
        </xdr:cNvSpPr>
      </xdr:nvSpPr>
      <xdr:spPr bwMode="auto">
        <a:xfrm>
          <a:off x="1244600" y="349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20</xdr:row>
      <xdr:rowOff>120650</xdr:rowOff>
    </xdr:to>
    <xdr:sp macro="" textlink="">
      <xdr:nvSpPr>
        <xdr:cNvPr id="22" name="AutoShape 51">
          <a:extLst>
            <a:ext uri="{FF2B5EF4-FFF2-40B4-BE49-F238E27FC236}">
              <a16:creationId xmlns:a16="http://schemas.microsoft.com/office/drawing/2014/main" id="{6B7185C1-E29F-4F14-95EB-A55B32436B61}"/>
            </a:ext>
          </a:extLst>
        </xdr:cNvPr>
        <xdr:cNvSpPr>
          <a:spLocks noChangeAspect="1" noChangeArrowheads="1"/>
        </xdr:cNvSpPr>
      </xdr:nvSpPr>
      <xdr:spPr bwMode="auto">
        <a:xfrm>
          <a:off x="124460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21</xdr:row>
      <xdr:rowOff>120650</xdr:rowOff>
    </xdr:to>
    <xdr:sp macro="" textlink="">
      <xdr:nvSpPr>
        <xdr:cNvPr id="23" name="AutoShape 52">
          <a:extLst>
            <a:ext uri="{FF2B5EF4-FFF2-40B4-BE49-F238E27FC236}">
              <a16:creationId xmlns:a16="http://schemas.microsoft.com/office/drawing/2014/main" id="{304B91BC-BCE0-41B6-9672-C0D7EF9668F2}"/>
            </a:ext>
          </a:extLst>
        </xdr:cNvPr>
        <xdr:cNvSpPr>
          <a:spLocks noChangeAspect="1" noChangeArrowheads="1"/>
        </xdr:cNvSpPr>
      </xdr:nvSpPr>
      <xdr:spPr bwMode="auto">
        <a:xfrm>
          <a:off x="1244600" y="38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22</xdr:row>
      <xdr:rowOff>120650</xdr:rowOff>
    </xdr:to>
    <xdr:sp macro="" textlink="">
      <xdr:nvSpPr>
        <xdr:cNvPr id="24" name="AutoShape 53">
          <a:extLst>
            <a:ext uri="{FF2B5EF4-FFF2-40B4-BE49-F238E27FC236}">
              <a16:creationId xmlns:a16="http://schemas.microsoft.com/office/drawing/2014/main" id="{39FAAD2B-64AD-40B1-984D-19D7E41DC91F}"/>
            </a:ext>
          </a:extLst>
        </xdr:cNvPr>
        <xdr:cNvSpPr>
          <a:spLocks noChangeAspect="1" noChangeArrowheads="1"/>
        </xdr:cNvSpPr>
      </xdr:nvSpPr>
      <xdr:spPr bwMode="auto">
        <a:xfrm>
          <a:off x="1244600" y="40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23</xdr:row>
      <xdr:rowOff>120650</xdr:rowOff>
    </xdr:to>
    <xdr:sp macro="" textlink="">
      <xdr:nvSpPr>
        <xdr:cNvPr id="25" name="AutoShape 54">
          <a:extLst>
            <a:ext uri="{FF2B5EF4-FFF2-40B4-BE49-F238E27FC236}">
              <a16:creationId xmlns:a16="http://schemas.microsoft.com/office/drawing/2014/main" id="{AF507E4B-30D4-425E-BF97-58D8F192A065}"/>
            </a:ext>
          </a:extLst>
        </xdr:cNvPr>
        <xdr:cNvSpPr>
          <a:spLocks noChangeAspect="1" noChangeArrowheads="1"/>
        </xdr:cNvSpPr>
      </xdr:nvSpPr>
      <xdr:spPr bwMode="auto">
        <a:xfrm>
          <a:off x="1244600" y="42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24</xdr:row>
      <xdr:rowOff>120650</xdr:rowOff>
    </xdr:to>
    <xdr:sp macro="" textlink="">
      <xdr:nvSpPr>
        <xdr:cNvPr id="26" name="AutoShape 55">
          <a:extLst>
            <a:ext uri="{FF2B5EF4-FFF2-40B4-BE49-F238E27FC236}">
              <a16:creationId xmlns:a16="http://schemas.microsoft.com/office/drawing/2014/main" id="{0B94C16C-32ED-4BB5-8864-6F8362356CD3}"/>
            </a:ext>
          </a:extLst>
        </xdr:cNvPr>
        <xdr:cNvSpPr>
          <a:spLocks noChangeAspect="1" noChangeArrowheads="1"/>
        </xdr:cNvSpPr>
      </xdr:nvSpPr>
      <xdr:spPr bwMode="auto">
        <a:xfrm>
          <a:off x="1244600" y="44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25</xdr:row>
      <xdr:rowOff>120650</xdr:rowOff>
    </xdr:to>
    <xdr:sp macro="" textlink="">
      <xdr:nvSpPr>
        <xdr:cNvPr id="27" name="AutoShape 56">
          <a:extLst>
            <a:ext uri="{FF2B5EF4-FFF2-40B4-BE49-F238E27FC236}">
              <a16:creationId xmlns:a16="http://schemas.microsoft.com/office/drawing/2014/main" id="{72ADC4BE-C21D-4226-8FCA-B1CDA098C8B7}"/>
            </a:ext>
          </a:extLst>
        </xdr:cNvPr>
        <xdr:cNvSpPr>
          <a:spLocks noChangeAspect="1" noChangeArrowheads="1"/>
        </xdr:cNvSpPr>
      </xdr:nvSpPr>
      <xdr:spPr bwMode="auto">
        <a:xfrm>
          <a:off x="1244600" y="460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26</xdr:row>
      <xdr:rowOff>120650</xdr:rowOff>
    </xdr:to>
    <xdr:sp macro="" textlink="">
      <xdr:nvSpPr>
        <xdr:cNvPr id="28" name="AutoShape 57">
          <a:extLst>
            <a:ext uri="{FF2B5EF4-FFF2-40B4-BE49-F238E27FC236}">
              <a16:creationId xmlns:a16="http://schemas.microsoft.com/office/drawing/2014/main" id="{63349955-3708-4091-8F64-99D3FCFE7990}"/>
            </a:ext>
          </a:extLst>
        </xdr:cNvPr>
        <xdr:cNvSpPr>
          <a:spLocks noChangeAspect="1" noChangeArrowheads="1"/>
        </xdr:cNvSpPr>
      </xdr:nvSpPr>
      <xdr:spPr bwMode="auto">
        <a:xfrm>
          <a:off x="1244600" y="47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304800</xdr:colOff>
      <xdr:row>27</xdr:row>
      <xdr:rowOff>120650</xdr:rowOff>
    </xdr:to>
    <xdr:sp macro="" textlink="">
      <xdr:nvSpPr>
        <xdr:cNvPr id="29" name="AutoShape 58">
          <a:extLst>
            <a:ext uri="{FF2B5EF4-FFF2-40B4-BE49-F238E27FC236}">
              <a16:creationId xmlns:a16="http://schemas.microsoft.com/office/drawing/2014/main" id="{CF8131A4-6AEE-4BB8-876D-F55B588AB3B0}"/>
            </a:ext>
          </a:extLst>
        </xdr:cNvPr>
        <xdr:cNvSpPr>
          <a:spLocks noChangeAspect="1" noChangeArrowheads="1"/>
        </xdr:cNvSpPr>
      </xdr:nvSpPr>
      <xdr:spPr bwMode="auto">
        <a:xfrm>
          <a:off x="1244600" y="497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28</xdr:row>
      <xdr:rowOff>120650</xdr:rowOff>
    </xdr:to>
    <xdr:sp macro="" textlink="">
      <xdr:nvSpPr>
        <xdr:cNvPr id="30" name="AutoShape 59">
          <a:extLst>
            <a:ext uri="{FF2B5EF4-FFF2-40B4-BE49-F238E27FC236}">
              <a16:creationId xmlns:a16="http://schemas.microsoft.com/office/drawing/2014/main" id="{9E62FCA9-685A-49B8-9DC8-79B1EAB0C556}"/>
            </a:ext>
          </a:extLst>
        </xdr:cNvPr>
        <xdr:cNvSpPr>
          <a:spLocks noChangeAspect="1" noChangeArrowheads="1"/>
        </xdr:cNvSpPr>
      </xdr:nvSpPr>
      <xdr:spPr bwMode="auto">
        <a:xfrm>
          <a:off x="1244600" y="515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29</xdr:row>
      <xdr:rowOff>120650</xdr:rowOff>
    </xdr:to>
    <xdr:sp macro="" textlink="">
      <xdr:nvSpPr>
        <xdr:cNvPr id="31" name="AutoShape 60">
          <a:extLst>
            <a:ext uri="{FF2B5EF4-FFF2-40B4-BE49-F238E27FC236}">
              <a16:creationId xmlns:a16="http://schemas.microsoft.com/office/drawing/2014/main" id="{EAA5D05D-8797-4004-8359-103A27361AB8}"/>
            </a:ext>
          </a:extLst>
        </xdr:cNvPr>
        <xdr:cNvSpPr>
          <a:spLocks noChangeAspect="1" noChangeArrowheads="1"/>
        </xdr:cNvSpPr>
      </xdr:nvSpPr>
      <xdr:spPr bwMode="auto">
        <a:xfrm>
          <a:off x="1244600" y="53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30</xdr:row>
      <xdr:rowOff>120650</xdr:rowOff>
    </xdr:to>
    <xdr:sp macro="" textlink="">
      <xdr:nvSpPr>
        <xdr:cNvPr id="32" name="AutoShape 61">
          <a:extLst>
            <a:ext uri="{FF2B5EF4-FFF2-40B4-BE49-F238E27FC236}">
              <a16:creationId xmlns:a16="http://schemas.microsoft.com/office/drawing/2014/main" id="{ED43885E-78EC-42A2-ACDA-1C44FB947123}"/>
            </a:ext>
          </a:extLst>
        </xdr:cNvPr>
        <xdr:cNvSpPr>
          <a:spLocks noChangeAspect="1" noChangeArrowheads="1"/>
        </xdr:cNvSpPr>
      </xdr:nvSpPr>
      <xdr:spPr bwMode="auto">
        <a:xfrm>
          <a:off x="12446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31</xdr:row>
      <xdr:rowOff>120650</xdr:rowOff>
    </xdr:to>
    <xdr:sp macro="" textlink="">
      <xdr:nvSpPr>
        <xdr:cNvPr id="33" name="AutoShape 62">
          <a:extLst>
            <a:ext uri="{FF2B5EF4-FFF2-40B4-BE49-F238E27FC236}">
              <a16:creationId xmlns:a16="http://schemas.microsoft.com/office/drawing/2014/main" id="{CF81E417-944B-49F1-86C0-317617720723}"/>
            </a:ext>
          </a:extLst>
        </xdr:cNvPr>
        <xdr:cNvSpPr>
          <a:spLocks noChangeAspect="1" noChangeArrowheads="1"/>
        </xdr:cNvSpPr>
      </xdr:nvSpPr>
      <xdr:spPr bwMode="auto">
        <a:xfrm>
          <a:off x="1244600" y="57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32</xdr:row>
      <xdr:rowOff>120650</xdr:rowOff>
    </xdr:to>
    <xdr:sp macro="" textlink="">
      <xdr:nvSpPr>
        <xdr:cNvPr id="34" name="AutoShape 63">
          <a:extLst>
            <a:ext uri="{FF2B5EF4-FFF2-40B4-BE49-F238E27FC236}">
              <a16:creationId xmlns:a16="http://schemas.microsoft.com/office/drawing/2014/main" id="{F359EEA2-4C67-4B4C-B2B1-5B3AC00BEF38}"/>
            </a:ext>
          </a:extLst>
        </xdr:cNvPr>
        <xdr:cNvSpPr>
          <a:spLocks noChangeAspect="1" noChangeArrowheads="1"/>
        </xdr:cNvSpPr>
      </xdr:nvSpPr>
      <xdr:spPr bwMode="auto">
        <a:xfrm>
          <a:off x="1244600" y="58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33</xdr:row>
      <xdr:rowOff>120650</xdr:rowOff>
    </xdr:to>
    <xdr:sp macro="" textlink="">
      <xdr:nvSpPr>
        <xdr:cNvPr id="35" name="AutoShape 64">
          <a:extLst>
            <a:ext uri="{FF2B5EF4-FFF2-40B4-BE49-F238E27FC236}">
              <a16:creationId xmlns:a16="http://schemas.microsoft.com/office/drawing/2014/main" id="{5252E3A5-8D37-4CE4-ACB9-14D26E9902AF}"/>
            </a:ext>
          </a:extLst>
        </xdr:cNvPr>
        <xdr:cNvSpPr>
          <a:spLocks noChangeAspect="1" noChangeArrowheads="1"/>
        </xdr:cNvSpPr>
      </xdr:nvSpPr>
      <xdr:spPr bwMode="auto">
        <a:xfrm>
          <a:off x="1244600" y="607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34</xdr:row>
      <xdr:rowOff>120650</xdr:rowOff>
    </xdr:to>
    <xdr:sp macro="" textlink="">
      <xdr:nvSpPr>
        <xdr:cNvPr id="36" name="AutoShape 65">
          <a:extLst>
            <a:ext uri="{FF2B5EF4-FFF2-40B4-BE49-F238E27FC236}">
              <a16:creationId xmlns:a16="http://schemas.microsoft.com/office/drawing/2014/main" id="{520EBF87-33C9-42F0-B25C-66144801B69B}"/>
            </a:ext>
          </a:extLst>
        </xdr:cNvPr>
        <xdr:cNvSpPr>
          <a:spLocks noChangeAspect="1" noChangeArrowheads="1"/>
        </xdr:cNvSpPr>
      </xdr:nvSpPr>
      <xdr:spPr bwMode="auto">
        <a:xfrm>
          <a:off x="1244600" y="62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35</xdr:row>
      <xdr:rowOff>120650</xdr:rowOff>
    </xdr:to>
    <xdr:sp macro="" textlink="">
      <xdr:nvSpPr>
        <xdr:cNvPr id="37" name="AutoShape 66">
          <a:extLst>
            <a:ext uri="{FF2B5EF4-FFF2-40B4-BE49-F238E27FC236}">
              <a16:creationId xmlns:a16="http://schemas.microsoft.com/office/drawing/2014/main" id="{6B6F5483-A439-467C-9B57-281D69C08D71}"/>
            </a:ext>
          </a:extLst>
        </xdr:cNvPr>
        <xdr:cNvSpPr>
          <a:spLocks noChangeAspect="1" noChangeArrowheads="1"/>
        </xdr:cNvSpPr>
      </xdr:nvSpPr>
      <xdr:spPr bwMode="auto">
        <a:xfrm>
          <a:off x="1244600" y="644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36</xdr:row>
      <xdr:rowOff>120650</xdr:rowOff>
    </xdr:to>
    <xdr:sp macro="" textlink="">
      <xdr:nvSpPr>
        <xdr:cNvPr id="38" name="AutoShape 67">
          <a:extLst>
            <a:ext uri="{FF2B5EF4-FFF2-40B4-BE49-F238E27FC236}">
              <a16:creationId xmlns:a16="http://schemas.microsoft.com/office/drawing/2014/main" id="{BE6FE34D-469E-4627-8898-53948795FDA2}"/>
            </a:ext>
          </a:extLst>
        </xdr:cNvPr>
        <xdr:cNvSpPr>
          <a:spLocks noChangeAspect="1" noChangeArrowheads="1"/>
        </xdr:cNvSpPr>
      </xdr:nvSpPr>
      <xdr:spPr bwMode="auto">
        <a:xfrm>
          <a:off x="1244600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37</xdr:row>
      <xdr:rowOff>120650</xdr:rowOff>
    </xdr:to>
    <xdr:sp macro="" textlink="">
      <xdr:nvSpPr>
        <xdr:cNvPr id="39" name="AutoShape 68">
          <a:extLst>
            <a:ext uri="{FF2B5EF4-FFF2-40B4-BE49-F238E27FC236}">
              <a16:creationId xmlns:a16="http://schemas.microsoft.com/office/drawing/2014/main" id="{C4858FDE-BC1C-4648-979D-FBD982FEAD15}"/>
            </a:ext>
          </a:extLst>
        </xdr:cNvPr>
        <xdr:cNvSpPr>
          <a:spLocks noChangeAspect="1" noChangeArrowheads="1"/>
        </xdr:cNvSpPr>
      </xdr:nvSpPr>
      <xdr:spPr bwMode="auto">
        <a:xfrm>
          <a:off x="1244600" y="68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304800</xdr:colOff>
      <xdr:row>38</xdr:row>
      <xdr:rowOff>120650</xdr:rowOff>
    </xdr:to>
    <xdr:sp macro="" textlink="">
      <xdr:nvSpPr>
        <xdr:cNvPr id="40" name="AutoShape 69">
          <a:extLst>
            <a:ext uri="{FF2B5EF4-FFF2-40B4-BE49-F238E27FC236}">
              <a16:creationId xmlns:a16="http://schemas.microsoft.com/office/drawing/2014/main" id="{05995982-CDBA-462B-A5DE-141BD8436E3B}"/>
            </a:ext>
          </a:extLst>
        </xdr:cNvPr>
        <xdr:cNvSpPr>
          <a:spLocks noChangeAspect="1" noChangeArrowheads="1"/>
        </xdr:cNvSpPr>
      </xdr:nvSpPr>
      <xdr:spPr bwMode="auto">
        <a:xfrm>
          <a:off x="1244600" y="69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9</xdr:row>
      <xdr:rowOff>120650</xdr:rowOff>
    </xdr:to>
    <xdr:sp macro="" textlink="">
      <xdr:nvSpPr>
        <xdr:cNvPr id="1063" name="AutoShape 39">
          <a:extLst>
            <a:ext uri="{FF2B5EF4-FFF2-40B4-BE49-F238E27FC236}">
              <a16:creationId xmlns:a16="http://schemas.microsoft.com/office/drawing/2014/main" id="{D5233654-21B3-7C64-DB29-5F1DCE1E2EA5}"/>
            </a:ext>
          </a:extLst>
        </xdr:cNvPr>
        <xdr:cNvSpPr>
          <a:spLocks noChangeAspect="1" noChangeArrowheads="1"/>
        </xdr:cNvSpPr>
      </xdr:nvSpPr>
      <xdr:spPr bwMode="auto">
        <a:xfrm>
          <a:off x="1079500" y="16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120650</xdr:rowOff>
    </xdr:to>
    <xdr:sp macro="" textlink="">
      <xdr:nvSpPr>
        <xdr:cNvPr id="1065" name="AutoShape 41">
          <a:extLst>
            <a:ext uri="{FF2B5EF4-FFF2-40B4-BE49-F238E27FC236}">
              <a16:creationId xmlns:a16="http://schemas.microsoft.com/office/drawing/2014/main" id="{0DE92E99-1000-EADC-13FE-3B1DE0DACD91}"/>
            </a:ext>
          </a:extLst>
        </xdr:cNvPr>
        <xdr:cNvSpPr>
          <a:spLocks noChangeAspect="1" noChangeArrowheads="1"/>
        </xdr:cNvSpPr>
      </xdr:nvSpPr>
      <xdr:spPr bwMode="auto">
        <a:xfrm>
          <a:off x="10795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13</xdr:row>
      <xdr:rowOff>120650</xdr:rowOff>
    </xdr:to>
    <xdr:sp macro="" textlink="">
      <xdr:nvSpPr>
        <xdr:cNvPr id="1067" name="AutoShape 43">
          <a:extLst>
            <a:ext uri="{FF2B5EF4-FFF2-40B4-BE49-F238E27FC236}">
              <a16:creationId xmlns:a16="http://schemas.microsoft.com/office/drawing/2014/main" id="{4A7B3BF6-28DF-2B4D-0F38-F17E7C534CB3}"/>
            </a:ext>
          </a:extLst>
        </xdr:cNvPr>
        <xdr:cNvSpPr>
          <a:spLocks noChangeAspect="1" noChangeArrowheads="1"/>
        </xdr:cNvSpPr>
      </xdr:nvSpPr>
      <xdr:spPr bwMode="auto">
        <a:xfrm>
          <a:off x="107950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14</xdr:row>
      <xdr:rowOff>120650</xdr:rowOff>
    </xdr:to>
    <xdr:sp macro="" textlink="">
      <xdr:nvSpPr>
        <xdr:cNvPr id="1068" name="AutoShape 44">
          <a:extLst>
            <a:ext uri="{FF2B5EF4-FFF2-40B4-BE49-F238E27FC236}">
              <a16:creationId xmlns:a16="http://schemas.microsoft.com/office/drawing/2014/main" id="{88F14437-3DCC-3E1F-A54A-0F99B78C0F12}"/>
            </a:ext>
          </a:extLst>
        </xdr:cNvPr>
        <xdr:cNvSpPr>
          <a:spLocks noChangeAspect="1" noChangeArrowheads="1"/>
        </xdr:cNvSpPr>
      </xdr:nvSpPr>
      <xdr:spPr bwMode="auto">
        <a:xfrm>
          <a:off x="1079500" y="25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15</xdr:row>
      <xdr:rowOff>120650</xdr:rowOff>
    </xdr:to>
    <xdr:sp macro="" textlink="">
      <xdr:nvSpPr>
        <xdr:cNvPr id="1069" name="AutoShape 45">
          <a:extLst>
            <a:ext uri="{FF2B5EF4-FFF2-40B4-BE49-F238E27FC236}">
              <a16:creationId xmlns:a16="http://schemas.microsoft.com/office/drawing/2014/main" id="{CDEB73A0-9E1A-C714-D79D-282E4096CEE9}"/>
            </a:ext>
          </a:extLst>
        </xdr:cNvPr>
        <xdr:cNvSpPr>
          <a:spLocks noChangeAspect="1" noChangeArrowheads="1"/>
        </xdr:cNvSpPr>
      </xdr:nvSpPr>
      <xdr:spPr bwMode="auto">
        <a:xfrm>
          <a:off x="1079500" y="27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16</xdr:row>
      <xdr:rowOff>120650</xdr:rowOff>
    </xdr:to>
    <xdr:sp macro="" textlink="">
      <xdr:nvSpPr>
        <xdr:cNvPr id="1070" name="AutoShape 46">
          <a:extLst>
            <a:ext uri="{FF2B5EF4-FFF2-40B4-BE49-F238E27FC236}">
              <a16:creationId xmlns:a16="http://schemas.microsoft.com/office/drawing/2014/main" id="{7AF7E253-6A84-AFD3-475B-7A8D435D50CF}"/>
            </a:ext>
          </a:extLst>
        </xdr:cNvPr>
        <xdr:cNvSpPr>
          <a:spLocks noChangeAspect="1" noChangeArrowheads="1"/>
        </xdr:cNvSpPr>
      </xdr:nvSpPr>
      <xdr:spPr bwMode="auto">
        <a:xfrm>
          <a:off x="1079500" y="29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17</xdr:row>
      <xdr:rowOff>120650</xdr:rowOff>
    </xdr:to>
    <xdr:sp macro="" textlink="">
      <xdr:nvSpPr>
        <xdr:cNvPr id="1071" name="AutoShape 47">
          <a:extLst>
            <a:ext uri="{FF2B5EF4-FFF2-40B4-BE49-F238E27FC236}">
              <a16:creationId xmlns:a16="http://schemas.microsoft.com/office/drawing/2014/main" id="{1734511C-3365-8884-885D-A66AFD693F9A}"/>
            </a:ext>
          </a:extLst>
        </xdr:cNvPr>
        <xdr:cNvSpPr>
          <a:spLocks noChangeAspect="1" noChangeArrowheads="1"/>
        </xdr:cNvSpPr>
      </xdr:nvSpPr>
      <xdr:spPr bwMode="auto">
        <a:xfrm>
          <a:off x="1079500" y="31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18</xdr:row>
      <xdr:rowOff>120650</xdr:rowOff>
    </xdr:to>
    <xdr:sp macro="" textlink="">
      <xdr:nvSpPr>
        <xdr:cNvPr id="1072" name="AutoShape 48">
          <a:extLst>
            <a:ext uri="{FF2B5EF4-FFF2-40B4-BE49-F238E27FC236}">
              <a16:creationId xmlns:a16="http://schemas.microsoft.com/office/drawing/2014/main" id="{F148C479-BBFA-387C-92E0-E0180048B25C}"/>
            </a:ext>
          </a:extLst>
        </xdr:cNvPr>
        <xdr:cNvSpPr>
          <a:spLocks noChangeAspect="1" noChangeArrowheads="1"/>
        </xdr:cNvSpPr>
      </xdr:nvSpPr>
      <xdr:spPr bwMode="auto">
        <a:xfrm>
          <a:off x="1079500" y="332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19</xdr:row>
      <xdr:rowOff>120650</xdr:rowOff>
    </xdr:to>
    <xdr:sp macro="" textlink="">
      <xdr:nvSpPr>
        <xdr:cNvPr id="1073" name="AutoShape 49">
          <a:extLst>
            <a:ext uri="{FF2B5EF4-FFF2-40B4-BE49-F238E27FC236}">
              <a16:creationId xmlns:a16="http://schemas.microsoft.com/office/drawing/2014/main" id="{95906DD8-256B-551A-D54F-2214C5471896}"/>
            </a:ext>
          </a:extLst>
        </xdr:cNvPr>
        <xdr:cNvSpPr>
          <a:spLocks noChangeAspect="1" noChangeArrowheads="1"/>
        </xdr:cNvSpPr>
      </xdr:nvSpPr>
      <xdr:spPr bwMode="auto">
        <a:xfrm>
          <a:off x="1079500" y="35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20</xdr:row>
      <xdr:rowOff>120650</xdr:rowOff>
    </xdr:to>
    <xdr:sp macro="" textlink="">
      <xdr:nvSpPr>
        <xdr:cNvPr id="1074" name="AutoShape 50">
          <a:extLst>
            <a:ext uri="{FF2B5EF4-FFF2-40B4-BE49-F238E27FC236}">
              <a16:creationId xmlns:a16="http://schemas.microsoft.com/office/drawing/2014/main" id="{0B496EFE-93DF-5589-A9A2-517843CFE9B2}"/>
            </a:ext>
          </a:extLst>
        </xdr:cNvPr>
        <xdr:cNvSpPr>
          <a:spLocks noChangeAspect="1" noChangeArrowheads="1"/>
        </xdr:cNvSpPr>
      </xdr:nvSpPr>
      <xdr:spPr bwMode="auto">
        <a:xfrm>
          <a:off x="1079500" y="368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21</xdr:row>
      <xdr:rowOff>120650</xdr:rowOff>
    </xdr:to>
    <xdr:sp macro="" textlink="">
      <xdr:nvSpPr>
        <xdr:cNvPr id="1075" name="AutoShape 51">
          <a:extLst>
            <a:ext uri="{FF2B5EF4-FFF2-40B4-BE49-F238E27FC236}">
              <a16:creationId xmlns:a16="http://schemas.microsoft.com/office/drawing/2014/main" id="{C402BB1F-39C9-237B-E777-35A496934A68}"/>
            </a:ext>
          </a:extLst>
        </xdr:cNvPr>
        <xdr:cNvSpPr>
          <a:spLocks noChangeAspect="1" noChangeArrowheads="1"/>
        </xdr:cNvSpPr>
      </xdr:nvSpPr>
      <xdr:spPr bwMode="auto">
        <a:xfrm>
          <a:off x="1079500" y="38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22</xdr:row>
      <xdr:rowOff>120650</xdr:rowOff>
    </xdr:to>
    <xdr:sp macro="" textlink="">
      <xdr:nvSpPr>
        <xdr:cNvPr id="1076" name="AutoShape 52">
          <a:extLst>
            <a:ext uri="{FF2B5EF4-FFF2-40B4-BE49-F238E27FC236}">
              <a16:creationId xmlns:a16="http://schemas.microsoft.com/office/drawing/2014/main" id="{9AD8F34A-D39E-B95B-3ABF-1F55685048A9}"/>
            </a:ext>
          </a:extLst>
        </xdr:cNvPr>
        <xdr:cNvSpPr>
          <a:spLocks noChangeAspect="1" noChangeArrowheads="1"/>
        </xdr:cNvSpPr>
      </xdr:nvSpPr>
      <xdr:spPr bwMode="auto">
        <a:xfrm>
          <a:off x="1079500" y="405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23</xdr:row>
      <xdr:rowOff>120650</xdr:rowOff>
    </xdr:to>
    <xdr:sp macro="" textlink="">
      <xdr:nvSpPr>
        <xdr:cNvPr id="1077" name="AutoShape 53">
          <a:extLst>
            <a:ext uri="{FF2B5EF4-FFF2-40B4-BE49-F238E27FC236}">
              <a16:creationId xmlns:a16="http://schemas.microsoft.com/office/drawing/2014/main" id="{BB563A2D-EFC4-5DD7-6A13-0134CDC28688}"/>
            </a:ext>
          </a:extLst>
        </xdr:cNvPr>
        <xdr:cNvSpPr>
          <a:spLocks noChangeAspect="1" noChangeArrowheads="1"/>
        </xdr:cNvSpPr>
      </xdr:nvSpPr>
      <xdr:spPr bwMode="auto">
        <a:xfrm>
          <a:off x="1079500" y="42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24</xdr:row>
      <xdr:rowOff>120650</xdr:rowOff>
    </xdr:to>
    <xdr:sp macro="" textlink="">
      <xdr:nvSpPr>
        <xdr:cNvPr id="1078" name="AutoShape 54">
          <a:extLst>
            <a:ext uri="{FF2B5EF4-FFF2-40B4-BE49-F238E27FC236}">
              <a16:creationId xmlns:a16="http://schemas.microsoft.com/office/drawing/2014/main" id="{73E42BBE-6CA0-B388-EA8B-CD078A5FED00}"/>
            </a:ext>
          </a:extLst>
        </xdr:cNvPr>
        <xdr:cNvSpPr>
          <a:spLocks noChangeAspect="1" noChangeArrowheads="1"/>
        </xdr:cNvSpPr>
      </xdr:nvSpPr>
      <xdr:spPr bwMode="auto">
        <a:xfrm>
          <a:off x="1079500" y="44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25</xdr:row>
      <xdr:rowOff>120650</xdr:rowOff>
    </xdr:to>
    <xdr:sp macro="" textlink="">
      <xdr:nvSpPr>
        <xdr:cNvPr id="1079" name="AutoShape 55">
          <a:extLst>
            <a:ext uri="{FF2B5EF4-FFF2-40B4-BE49-F238E27FC236}">
              <a16:creationId xmlns:a16="http://schemas.microsoft.com/office/drawing/2014/main" id="{0E0A9329-2546-CA58-3195-CFEB5388BADB}"/>
            </a:ext>
          </a:extLst>
        </xdr:cNvPr>
        <xdr:cNvSpPr>
          <a:spLocks noChangeAspect="1" noChangeArrowheads="1"/>
        </xdr:cNvSpPr>
      </xdr:nvSpPr>
      <xdr:spPr bwMode="auto">
        <a:xfrm>
          <a:off x="1079500" y="461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26</xdr:row>
      <xdr:rowOff>120650</xdr:rowOff>
    </xdr:to>
    <xdr:sp macro="" textlink="">
      <xdr:nvSpPr>
        <xdr:cNvPr id="1080" name="AutoShape 56">
          <a:extLst>
            <a:ext uri="{FF2B5EF4-FFF2-40B4-BE49-F238E27FC236}">
              <a16:creationId xmlns:a16="http://schemas.microsoft.com/office/drawing/2014/main" id="{79BDA3ED-C159-5CE2-F3AF-FED7C0D2FE5E}"/>
            </a:ext>
          </a:extLst>
        </xdr:cNvPr>
        <xdr:cNvSpPr>
          <a:spLocks noChangeAspect="1" noChangeArrowheads="1"/>
        </xdr:cNvSpPr>
      </xdr:nvSpPr>
      <xdr:spPr bwMode="auto">
        <a:xfrm>
          <a:off x="1079500" y="47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28</xdr:row>
      <xdr:rowOff>120650</xdr:rowOff>
    </xdr:to>
    <xdr:sp macro="" textlink="">
      <xdr:nvSpPr>
        <xdr:cNvPr id="1082" name="AutoShape 58">
          <a:extLst>
            <a:ext uri="{FF2B5EF4-FFF2-40B4-BE49-F238E27FC236}">
              <a16:creationId xmlns:a16="http://schemas.microsoft.com/office/drawing/2014/main" id="{21F27984-2E6E-C372-1C51-EE181E9F6686}"/>
            </a:ext>
          </a:extLst>
        </xdr:cNvPr>
        <xdr:cNvSpPr>
          <a:spLocks noChangeAspect="1" noChangeArrowheads="1"/>
        </xdr:cNvSpPr>
      </xdr:nvSpPr>
      <xdr:spPr bwMode="auto">
        <a:xfrm>
          <a:off x="1079500" y="51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29</xdr:row>
      <xdr:rowOff>120650</xdr:rowOff>
    </xdr:to>
    <xdr:sp macro="" textlink="">
      <xdr:nvSpPr>
        <xdr:cNvPr id="1083" name="AutoShape 59">
          <a:extLst>
            <a:ext uri="{FF2B5EF4-FFF2-40B4-BE49-F238E27FC236}">
              <a16:creationId xmlns:a16="http://schemas.microsoft.com/office/drawing/2014/main" id="{53899A71-6F70-4AA8-E383-08EEE62BDE6A}"/>
            </a:ext>
          </a:extLst>
        </xdr:cNvPr>
        <xdr:cNvSpPr>
          <a:spLocks noChangeAspect="1" noChangeArrowheads="1"/>
        </xdr:cNvSpPr>
      </xdr:nvSpPr>
      <xdr:spPr bwMode="auto">
        <a:xfrm>
          <a:off x="1079500" y="53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30</xdr:row>
      <xdr:rowOff>120650</xdr:rowOff>
    </xdr:to>
    <xdr:sp macro="" textlink="">
      <xdr:nvSpPr>
        <xdr:cNvPr id="1084" name="AutoShape 60">
          <a:extLst>
            <a:ext uri="{FF2B5EF4-FFF2-40B4-BE49-F238E27FC236}">
              <a16:creationId xmlns:a16="http://schemas.microsoft.com/office/drawing/2014/main" id="{AC99E657-EF0A-2E04-D7A9-7AB8596A498D}"/>
            </a:ext>
          </a:extLst>
        </xdr:cNvPr>
        <xdr:cNvSpPr>
          <a:spLocks noChangeAspect="1" noChangeArrowheads="1"/>
        </xdr:cNvSpPr>
      </xdr:nvSpPr>
      <xdr:spPr bwMode="auto">
        <a:xfrm>
          <a:off x="1079500" y="55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31</xdr:row>
      <xdr:rowOff>120650</xdr:rowOff>
    </xdr:to>
    <xdr:sp macro="" textlink="">
      <xdr:nvSpPr>
        <xdr:cNvPr id="1085" name="AutoShape 61">
          <a:extLst>
            <a:ext uri="{FF2B5EF4-FFF2-40B4-BE49-F238E27FC236}">
              <a16:creationId xmlns:a16="http://schemas.microsoft.com/office/drawing/2014/main" id="{EFF49173-511E-B7A3-04A2-1334E9D4BA27}"/>
            </a:ext>
          </a:extLst>
        </xdr:cNvPr>
        <xdr:cNvSpPr>
          <a:spLocks noChangeAspect="1" noChangeArrowheads="1"/>
        </xdr:cNvSpPr>
      </xdr:nvSpPr>
      <xdr:spPr bwMode="auto">
        <a:xfrm>
          <a:off x="107950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32</xdr:row>
      <xdr:rowOff>120650</xdr:rowOff>
    </xdr:to>
    <xdr:sp macro="" textlink="">
      <xdr:nvSpPr>
        <xdr:cNvPr id="1086" name="AutoShape 62">
          <a:extLst>
            <a:ext uri="{FF2B5EF4-FFF2-40B4-BE49-F238E27FC236}">
              <a16:creationId xmlns:a16="http://schemas.microsoft.com/office/drawing/2014/main" id="{FCDA3EE6-6315-0A69-F42A-264E9E8C260B}"/>
            </a:ext>
          </a:extLst>
        </xdr:cNvPr>
        <xdr:cNvSpPr>
          <a:spLocks noChangeAspect="1" noChangeArrowheads="1"/>
        </xdr:cNvSpPr>
      </xdr:nvSpPr>
      <xdr:spPr bwMode="auto">
        <a:xfrm>
          <a:off x="1079500" y="58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33</xdr:row>
      <xdr:rowOff>120650</xdr:rowOff>
    </xdr:to>
    <xdr:sp macro="" textlink="">
      <xdr:nvSpPr>
        <xdr:cNvPr id="1087" name="AutoShape 63">
          <a:extLst>
            <a:ext uri="{FF2B5EF4-FFF2-40B4-BE49-F238E27FC236}">
              <a16:creationId xmlns:a16="http://schemas.microsoft.com/office/drawing/2014/main" id="{BC967844-0DEA-7169-9991-9D020331601A}"/>
            </a:ext>
          </a:extLst>
        </xdr:cNvPr>
        <xdr:cNvSpPr>
          <a:spLocks noChangeAspect="1" noChangeArrowheads="1"/>
        </xdr:cNvSpPr>
      </xdr:nvSpPr>
      <xdr:spPr bwMode="auto">
        <a:xfrm>
          <a:off x="1079500" y="60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34</xdr:row>
      <xdr:rowOff>120650</xdr:rowOff>
    </xdr:to>
    <xdr:sp macro="" textlink="">
      <xdr:nvSpPr>
        <xdr:cNvPr id="1088" name="AutoShape 64">
          <a:extLst>
            <a:ext uri="{FF2B5EF4-FFF2-40B4-BE49-F238E27FC236}">
              <a16:creationId xmlns:a16="http://schemas.microsoft.com/office/drawing/2014/main" id="{7153C64F-1ACD-A790-820B-BEC17B383ACE}"/>
            </a:ext>
          </a:extLst>
        </xdr:cNvPr>
        <xdr:cNvSpPr>
          <a:spLocks noChangeAspect="1" noChangeArrowheads="1"/>
        </xdr:cNvSpPr>
      </xdr:nvSpPr>
      <xdr:spPr bwMode="auto">
        <a:xfrm>
          <a:off x="1079500" y="626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35</xdr:row>
      <xdr:rowOff>120650</xdr:rowOff>
    </xdr:to>
    <xdr:sp macro="" textlink="">
      <xdr:nvSpPr>
        <xdr:cNvPr id="1089" name="AutoShape 65">
          <a:extLst>
            <a:ext uri="{FF2B5EF4-FFF2-40B4-BE49-F238E27FC236}">
              <a16:creationId xmlns:a16="http://schemas.microsoft.com/office/drawing/2014/main" id="{4D9D552F-4DC2-1351-A808-E476FF35AD77}"/>
            </a:ext>
          </a:extLst>
        </xdr:cNvPr>
        <xdr:cNvSpPr>
          <a:spLocks noChangeAspect="1" noChangeArrowheads="1"/>
        </xdr:cNvSpPr>
      </xdr:nvSpPr>
      <xdr:spPr bwMode="auto">
        <a:xfrm>
          <a:off x="1079500" y="64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36</xdr:row>
      <xdr:rowOff>120650</xdr:rowOff>
    </xdr:to>
    <xdr:sp macro="" textlink="">
      <xdr:nvSpPr>
        <xdr:cNvPr id="1090" name="AutoShape 66">
          <a:extLst>
            <a:ext uri="{FF2B5EF4-FFF2-40B4-BE49-F238E27FC236}">
              <a16:creationId xmlns:a16="http://schemas.microsoft.com/office/drawing/2014/main" id="{BD160AF2-D9A0-D503-38B5-1416CC3D4022}"/>
            </a:ext>
          </a:extLst>
        </xdr:cNvPr>
        <xdr:cNvSpPr>
          <a:spLocks noChangeAspect="1" noChangeArrowheads="1"/>
        </xdr:cNvSpPr>
      </xdr:nvSpPr>
      <xdr:spPr bwMode="auto">
        <a:xfrm>
          <a:off x="1079500" y="66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37</xdr:row>
      <xdr:rowOff>120650</xdr:rowOff>
    </xdr:to>
    <xdr:sp macro="" textlink="">
      <xdr:nvSpPr>
        <xdr:cNvPr id="1091" name="AutoShape 67">
          <a:extLst>
            <a:ext uri="{FF2B5EF4-FFF2-40B4-BE49-F238E27FC236}">
              <a16:creationId xmlns:a16="http://schemas.microsoft.com/office/drawing/2014/main" id="{7B2A9D5E-ABB4-9343-5FC6-24C098547813}"/>
            </a:ext>
          </a:extLst>
        </xdr:cNvPr>
        <xdr:cNvSpPr>
          <a:spLocks noChangeAspect="1" noChangeArrowheads="1"/>
        </xdr:cNvSpPr>
      </xdr:nvSpPr>
      <xdr:spPr bwMode="auto">
        <a:xfrm>
          <a:off x="1079500" y="68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304800</xdr:colOff>
      <xdr:row>38</xdr:row>
      <xdr:rowOff>120650</xdr:rowOff>
    </xdr:to>
    <xdr:sp macro="" textlink="">
      <xdr:nvSpPr>
        <xdr:cNvPr id="1092" name="AutoShape 68">
          <a:extLst>
            <a:ext uri="{FF2B5EF4-FFF2-40B4-BE49-F238E27FC236}">
              <a16:creationId xmlns:a16="http://schemas.microsoft.com/office/drawing/2014/main" id="{B6FD7B22-E609-4D86-6847-6C38D1ECCC53}"/>
            </a:ext>
          </a:extLst>
        </xdr:cNvPr>
        <xdr:cNvSpPr>
          <a:spLocks noChangeAspect="1" noChangeArrowheads="1"/>
        </xdr:cNvSpPr>
      </xdr:nvSpPr>
      <xdr:spPr bwMode="auto">
        <a:xfrm>
          <a:off x="1079500" y="700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304800</xdr:colOff>
      <xdr:row>39</xdr:row>
      <xdr:rowOff>120650</xdr:rowOff>
    </xdr:to>
    <xdr:sp macro="" textlink="">
      <xdr:nvSpPr>
        <xdr:cNvPr id="1093" name="AutoShape 69">
          <a:extLst>
            <a:ext uri="{FF2B5EF4-FFF2-40B4-BE49-F238E27FC236}">
              <a16:creationId xmlns:a16="http://schemas.microsoft.com/office/drawing/2014/main" id="{FF3D5ACD-EFE9-F102-74D3-119F94E2D45C}"/>
            </a:ext>
          </a:extLst>
        </xdr:cNvPr>
        <xdr:cNvSpPr>
          <a:spLocks noChangeAspect="1" noChangeArrowheads="1"/>
        </xdr:cNvSpPr>
      </xdr:nvSpPr>
      <xdr:spPr bwMode="auto">
        <a:xfrm>
          <a:off x="1079500" y="71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12C8-F2AE-4035-837A-23BF608020A6}">
  <dimension ref="A1:W45"/>
  <sheetViews>
    <sheetView workbookViewId="0">
      <selection activeCell="X1" sqref="X1"/>
    </sheetView>
  </sheetViews>
  <sheetFormatPr defaultRowHeight="14.5"/>
  <cols>
    <col min="1" max="1" width="4.81640625" bestFit="1" customWidth="1"/>
    <col min="2" max="2" width="3.90625" bestFit="1" customWidth="1"/>
    <col min="3" max="3" width="6" bestFit="1" customWidth="1"/>
    <col min="4" max="4" width="5.90625" bestFit="1" customWidth="1"/>
    <col min="5" max="5" width="17.90625" bestFit="1" customWidth="1"/>
    <col min="6" max="6" width="25.7265625" bestFit="1" customWidth="1"/>
    <col min="7" max="7" width="4.26953125" bestFit="1" customWidth="1"/>
    <col min="8" max="10" width="4.81640625" bestFit="1" customWidth="1"/>
    <col min="11" max="11" width="3.81640625" bestFit="1" customWidth="1"/>
    <col min="12" max="13" width="5.81640625" bestFit="1" customWidth="1"/>
    <col min="14" max="14" width="3.81640625" bestFit="1" customWidth="1"/>
    <col min="15" max="16" width="2.81640625" bestFit="1" customWidth="1"/>
    <col min="17" max="17" width="4.81640625" bestFit="1" customWidth="1"/>
    <col min="18" max="18" width="5.26953125" bestFit="1" customWidth="1"/>
    <col min="19" max="19" width="2.90625" bestFit="1" customWidth="1"/>
    <col min="20" max="20" width="4.54296875" bestFit="1" customWidth="1"/>
    <col min="21" max="21" width="4" bestFit="1" customWidth="1"/>
    <col min="22" max="22" width="9" bestFit="1" customWidth="1"/>
    <col min="23" max="23" width="10" bestFit="1" customWidth="1"/>
  </cols>
  <sheetData>
    <row r="1" spans="1:23">
      <c r="A1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>
        <v>2001</v>
      </c>
      <c r="B2">
        <v>1</v>
      </c>
      <c r="C2">
        <v>1</v>
      </c>
      <c r="D2">
        <v>1</v>
      </c>
      <c r="E2" t="s">
        <v>75</v>
      </c>
      <c r="F2" t="s">
        <v>1059</v>
      </c>
      <c r="G2" t="s">
        <v>6</v>
      </c>
      <c r="H2">
        <v>55.6</v>
      </c>
      <c r="I2">
        <v>1858</v>
      </c>
      <c r="J2">
        <v>6930</v>
      </c>
      <c r="K2">
        <v>143</v>
      </c>
      <c r="L2">
        <v>0.30599999999999999</v>
      </c>
      <c r="M2">
        <v>0.82699999999999996</v>
      </c>
      <c r="T2" t="s">
        <v>52</v>
      </c>
      <c r="U2">
        <f>IF(ISNUMBER(SEARCH("HS",T2)),1,0)</f>
        <v>1</v>
      </c>
      <c r="V2" t="str">
        <f>IF(ISNUMBER(H2),"MLB","")</f>
        <v>MLB</v>
      </c>
      <c r="W2" t="s">
        <v>1182</v>
      </c>
    </row>
    <row r="3" spans="1:23">
      <c r="A3">
        <v>2001</v>
      </c>
      <c r="B3">
        <v>1</v>
      </c>
      <c r="C3">
        <v>2</v>
      </c>
      <c r="D3">
        <v>2</v>
      </c>
      <c r="E3" t="s">
        <v>61</v>
      </c>
      <c r="F3" t="s">
        <v>1060</v>
      </c>
      <c r="G3" t="s">
        <v>8</v>
      </c>
      <c r="H3">
        <v>16.600000000000001</v>
      </c>
      <c r="N3">
        <v>106</v>
      </c>
      <c r="O3">
        <v>42</v>
      </c>
      <c r="P3">
        <v>29</v>
      </c>
      <c r="Q3">
        <v>3.51</v>
      </c>
      <c r="R3">
        <v>1.23</v>
      </c>
      <c r="S3">
        <v>0</v>
      </c>
      <c r="T3" t="s">
        <v>34</v>
      </c>
      <c r="U3">
        <f t="shared" ref="U3:U45" si="0">IF(ISNUMBER(SEARCH("HS",T3)),1,0)</f>
        <v>0</v>
      </c>
      <c r="V3" t="str">
        <f t="shared" ref="V3:V45" si="1">IF(ISNUMBER(H3),"MLB","")</f>
        <v>MLB</v>
      </c>
      <c r="W3" t="s">
        <v>1183</v>
      </c>
    </row>
    <row r="4" spans="1:23">
      <c r="A4">
        <v>2001</v>
      </c>
      <c r="B4">
        <v>1</v>
      </c>
      <c r="C4">
        <v>3</v>
      </c>
      <c r="D4">
        <v>3</v>
      </c>
      <c r="E4" t="s">
        <v>768</v>
      </c>
      <c r="F4" t="s">
        <v>1061</v>
      </c>
      <c r="G4" t="s">
        <v>8</v>
      </c>
      <c r="H4">
        <v>-3.1</v>
      </c>
      <c r="N4">
        <v>63</v>
      </c>
      <c r="O4">
        <v>8</v>
      </c>
      <c r="P4">
        <v>25</v>
      </c>
      <c r="Q4">
        <v>6.38</v>
      </c>
      <c r="R4">
        <v>1.68</v>
      </c>
      <c r="S4">
        <v>0</v>
      </c>
      <c r="T4" t="s">
        <v>34</v>
      </c>
      <c r="U4">
        <f t="shared" si="0"/>
        <v>0</v>
      </c>
      <c r="V4" t="str">
        <f t="shared" si="1"/>
        <v>MLB</v>
      </c>
      <c r="W4" t="s">
        <v>1184</v>
      </c>
    </row>
    <row r="5" spans="1:23">
      <c r="A5">
        <v>2001</v>
      </c>
      <c r="B5">
        <v>1</v>
      </c>
      <c r="C5">
        <v>4</v>
      </c>
      <c r="D5">
        <v>4</v>
      </c>
      <c r="E5" t="s">
        <v>87</v>
      </c>
      <c r="F5" t="s">
        <v>1062</v>
      </c>
      <c r="G5" t="s">
        <v>8</v>
      </c>
      <c r="H5">
        <v>15.7</v>
      </c>
      <c r="N5">
        <v>243</v>
      </c>
      <c r="O5">
        <v>74</v>
      </c>
      <c r="P5">
        <v>76</v>
      </c>
      <c r="Q5">
        <v>4.37</v>
      </c>
      <c r="R5">
        <v>1.32</v>
      </c>
      <c r="S5">
        <v>0</v>
      </c>
      <c r="T5" t="s">
        <v>52</v>
      </c>
      <c r="U5">
        <f t="shared" si="0"/>
        <v>1</v>
      </c>
      <c r="V5" t="str">
        <f t="shared" si="1"/>
        <v>MLB</v>
      </c>
      <c r="W5" t="s">
        <v>1185</v>
      </c>
    </row>
    <row r="6" spans="1:23">
      <c r="A6">
        <v>2001</v>
      </c>
      <c r="B6">
        <v>1</v>
      </c>
      <c r="C6">
        <v>5</v>
      </c>
      <c r="D6">
        <v>5</v>
      </c>
      <c r="E6" t="s">
        <v>93</v>
      </c>
      <c r="F6" t="s">
        <v>1063</v>
      </c>
      <c r="G6" t="s">
        <v>11</v>
      </c>
      <c r="H6">
        <v>50.5</v>
      </c>
      <c r="I6">
        <v>1862</v>
      </c>
      <c r="J6">
        <v>6936</v>
      </c>
      <c r="K6">
        <v>409</v>
      </c>
      <c r="L6">
        <v>0.26800000000000002</v>
      </c>
      <c r="M6">
        <v>0.86899999999999999</v>
      </c>
      <c r="T6" t="s">
        <v>34</v>
      </c>
      <c r="U6">
        <f t="shared" si="0"/>
        <v>0</v>
      </c>
      <c r="V6" t="str">
        <f t="shared" si="1"/>
        <v>MLB</v>
      </c>
      <c r="W6" t="s">
        <v>1186</v>
      </c>
    </row>
    <row r="7" spans="1:23">
      <c r="A7">
        <v>2001</v>
      </c>
      <c r="B7">
        <v>1</v>
      </c>
      <c r="C7">
        <v>6</v>
      </c>
      <c r="D7">
        <v>6</v>
      </c>
      <c r="E7" t="s">
        <v>938</v>
      </c>
      <c r="F7" t="s">
        <v>1064</v>
      </c>
      <c r="G7" t="s">
        <v>8</v>
      </c>
      <c r="T7" t="s">
        <v>34</v>
      </c>
      <c r="U7">
        <f t="shared" si="0"/>
        <v>0</v>
      </c>
      <c r="V7" t="s">
        <v>12</v>
      </c>
      <c r="W7">
        <v>-9999</v>
      </c>
    </row>
    <row r="8" spans="1:23">
      <c r="A8">
        <v>2001</v>
      </c>
      <c r="B8">
        <v>1</v>
      </c>
      <c r="C8">
        <v>7</v>
      </c>
      <c r="D8">
        <v>7</v>
      </c>
      <c r="E8" t="s">
        <v>77</v>
      </c>
      <c r="F8" t="s">
        <v>1065</v>
      </c>
      <c r="G8" t="s">
        <v>9</v>
      </c>
      <c r="T8" t="s">
        <v>34</v>
      </c>
      <c r="U8">
        <f t="shared" si="0"/>
        <v>0</v>
      </c>
      <c r="V8" t="s">
        <v>14</v>
      </c>
      <c r="W8">
        <v>-9999</v>
      </c>
    </row>
    <row r="9" spans="1:23">
      <c r="A9">
        <v>2001</v>
      </c>
      <c r="B9">
        <v>1</v>
      </c>
      <c r="C9">
        <v>8</v>
      </c>
      <c r="D9">
        <v>8</v>
      </c>
      <c r="E9" t="s">
        <v>50</v>
      </c>
      <c r="F9" t="s">
        <v>1066</v>
      </c>
      <c r="G9" t="s">
        <v>8</v>
      </c>
      <c r="H9">
        <v>-3.5</v>
      </c>
      <c r="N9">
        <v>26</v>
      </c>
      <c r="O9">
        <v>2</v>
      </c>
      <c r="P9">
        <v>13</v>
      </c>
      <c r="Q9">
        <v>9.1999999999999993</v>
      </c>
      <c r="R9">
        <v>2.14</v>
      </c>
      <c r="S9">
        <v>0</v>
      </c>
      <c r="T9" t="s">
        <v>34</v>
      </c>
      <c r="U9">
        <f t="shared" si="0"/>
        <v>0</v>
      </c>
      <c r="V9" t="str">
        <f t="shared" si="1"/>
        <v>MLB</v>
      </c>
      <c r="W9" t="s">
        <v>1187</v>
      </c>
    </row>
    <row r="10" spans="1:23">
      <c r="A10">
        <v>2001</v>
      </c>
      <c r="B10">
        <v>1</v>
      </c>
      <c r="C10">
        <v>9</v>
      </c>
      <c r="D10">
        <v>9</v>
      </c>
      <c r="E10" t="s">
        <v>43</v>
      </c>
      <c r="F10" t="s">
        <v>1067</v>
      </c>
      <c r="G10" t="s">
        <v>8</v>
      </c>
      <c r="T10" t="s">
        <v>52</v>
      </c>
      <c r="U10">
        <f t="shared" si="0"/>
        <v>1</v>
      </c>
      <c r="V10" t="s">
        <v>13</v>
      </c>
      <c r="W10">
        <v>-9999</v>
      </c>
    </row>
    <row r="11" spans="1:23">
      <c r="A11">
        <v>2001</v>
      </c>
      <c r="B11">
        <v>1</v>
      </c>
      <c r="C11">
        <v>10</v>
      </c>
      <c r="D11">
        <v>10</v>
      </c>
      <c r="E11" t="s">
        <v>89</v>
      </c>
      <c r="F11" t="s">
        <v>1068</v>
      </c>
      <c r="G11" t="s">
        <v>0</v>
      </c>
      <c r="H11">
        <v>-1.2</v>
      </c>
      <c r="I11">
        <v>477</v>
      </c>
      <c r="J11">
        <v>1267</v>
      </c>
      <c r="K11">
        <v>23</v>
      </c>
      <c r="L11">
        <v>0.23899999999999999</v>
      </c>
      <c r="M11">
        <v>0.67400000000000004</v>
      </c>
      <c r="T11" t="s">
        <v>34</v>
      </c>
      <c r="U11">
        <f t="shared" si="0"/>
        <v>0</v>
      </c>
      <c r="V11" t="str">
        <f t="shared" si="1"/>
        <v>MLB</v>
      </c>
      <c r="W11" t="s">
        <v>1188</v>
      </c>
    </row>
    <row r="12" spans="1:23">
      <c r="A12">
        <v>2001</v>
      </c>
      <c r="B12">
        <v>1</v>
      </c>
      <c r="C12">
        <v>11</v>
      </c>
      <c r="D12">
        <v>11</v>
      </c>
      <c r="E12" t="s">
        <v>55</v>
      </c>
      <c r="F12" t="s">
        <v>1069</v>
      </c>
      <c r="G12" t="s">
        <v>8</v>
      </c>
      <c r="T12" t="s">
        <v>34</v>
      </c>
      <c r="U12">
        <f t="shared" si="0"/>
        <v>0</v>
      </c>
      <c r="V12" t="s">
        <v>12</v>
      </c>
      <c r="W12">
        <v>-9999</v>
      </c>
    </row>
    <row r="13" spans="1:23">
      <c r="A13">
        <v>2001</v>
      </c>
      <c r="B13">
        <v>1</v>
      </c>
      <c r="C13">
        <v>12</v>
      </c>
      <c r="D13">
        <v>12</v>
      </c>
      <c r="E13" t="s">
        <v>67</v>
      </c>
      <c r="F13" t="s">
        <v>1070</v>
      </c>
      <c r="G13" t="s">
        <v>8</v>
      </c>
      <c r="T13" t="s">
        <v>52</v>
      </c>
      <c r="U13">
        <f t="shared" si="0"/>
        <v>1</v>
      </c>
      <c r="V13" t="s">
        <v>12</v>
      </c>
      <c r="W13">
        <v>-9999</v>
      </c>
    </row>
    <row r="14" spans="1:23">
      <c r="A14">
        <v>2001</v>
      </c>
      <c r="B14">
        <v>1</v>
      </c>
      <c r="C14">
        <v>13</v>
      </c>
      <c r="D14">
        <v>13</v>
      </c>
      <c r="E14" t="s">
        <v>48</v>
      </c>
      <c r="F14" t="s">
        <v>1071</v>
      </c>
      <c r="G14" t="s">
        <v>3</v>
      </c>
      <c r="H14">
        <v>7.5</v>
      </c>
      <c r="I14">
        <v>939</v>
      </c>
      <c r="J14">
        <v>3071</v>
      </c>
      <c r="K14">
        <v>71</v>
      </c>
      <c r="L14">
        <v>0.26</v>
      </c>
      <c r="M14">
        <v>0.71099999999999997</v>
      </c>
      <c r="T14" t="s">
        <v>52</v>
      </c>
      <c r="U14">
        <f t="shared" si="0"/>
        <v>1</v>
      </c>
      <c r="V14" t="str">
        <f t="shared" si="1"/>
        <v>MLB</v>
      </c>
      <c r="W14" t="s">
        <v>1189</v>
      </c>
    </row>
    <row r="15" spans="1:23">
      <c r="A15">
        <v>2001</v>
      </c>
      <c r="B15">
        <v>1</v>
      </c>
      <c r="C15">
        <v>14</v>
      </c>
      <c r="D15">
        <v>14</v>
      </c>
      <c r="E15" t="s">
        <v>83</v>
      </c>
      <c r="F15" t="s">
        <v>1072</v>
      </c>
      <c r="G15" t="s">
        <v>11</v>
      </c>
      <c r="T15" t="s">
        <v>34</v>
      </c>
      <c r="U15">
        <f t="shared" si="0"/>
        <v>0</v>
      </c>
      <c r="V15" t="s">
        <v>12</v>
      </c>
      <c r="W15">
        <v>-9999</v>
      </c>
    </row>
    <row r="16" spans="1:23">
      <c r="A16">
        <v>2001</v>
      </c>
      <c r="B16">
        <v>1</v>
      </c>
      <c r="C16">
        <v>15</v>
      </c>
      <c r="D16">
        <v>15</v>
      </c>
      <c r="E16" t="s">
        <v>73</v>
      </c>
      <c r="F16" t="s">
        <v>1073</v>
      </c>
      <c r="G16" t="s">
        <v>2</v>
      </c>
      <c r="H16">
        <v>4.5999999999999996</v>
      </c>
      <c r="I16">
        <v>657</v>
      </c>
      <c r="J16">
        <v>1461</v>
      </c>
      <c r="K16">
        <v>40</v>
      </c>
      <c r="L16">
        <v>0.23899999999999999</v>
      </c>
      <c r="M16">
        <v>0.71599999999999997</v>
      </c>
      <c r="T16" t="s">
        <v>34</v>
      </c>
      <c r="U16">
        <f t="shared" si="0"/>
        <v>0</v>
      </c>
      <c r="V16" t="str">
        <f t="shared" si="1"/>
        <v>MLB</v>
      </c>
      <c r="W16" t="s">
        <v>1190</v>
      </c>
    </row>
    <row r="17" spans="1:23">
      <c r="A17">
        <v>2001</v>
      </c>
      <c r="B17">
        <v>1</v>
      </c>
      <c r="C17">
        <v>16</v>
      </c>
      <c r="D17">
        <v>16</v>
      </c>
      <c r="E17" t="s">
        <v>1074</v>
      </c>
      <c r="F17" t="s">
        <v>1075</v>
      </c>
      <c r="G17" t="s">
        <v>8</v>
      </c>
      <c r="T17" t="s">
        <v>52</v>
      </c>
      <c r="U17">
        <f t="shared" si="0"/>
        <v>1</v>
      </c>
      <c r="V17" t="s">
        <v>13</v>
      </c>
      <c r="W17">
        <v>-9999</v>
      </c>
    </row>
    <row r="18" spans="1:23">
      <c r="A18">
        <v>2001</v>
      </c>
      <c r="B18">
        <v>1</v>
      </c>
      <c r="C18">
        <v>17</v>
      </c>
      <c r="D18">
        <v>17</v>
      </c>
      <c r="E18" t="s">
        <v>1076</v>
      </c>
      <c r="F18" t="s">
        <v>1077</v>
      </c>
      <c r="G18" t="s">
        <v>8</v>
      </c>
      <c r="T18" t="s">
        <v>52</v>
      </c>
      <c r="U18">
        <f t="shared" si="0"/>
        <v>1</v>
      </c>
      <c r="V18" t="s">
        <v>12</v>
      </c>
      <c r="W18">
        <v>-9999</v>
      </c>
    </row>
    <row r="19" spans="1:23">
      <c r="A19">
        <v>2001</v>
      </c>
      <c r="B19">
        <v>1</v>
      </c>
      <c r="C19">
        <v>18</v>
      </c>
      <c r="D19">
        <v>18</v>
      </c>
      <c r="E19" t="s">
        <v>1078</v>
      </c>
      <c r="F19" t="s">
        <v>1079</v>
      </c>
      <c r="G19" t="s">
        <v>8</v>
      </c>
      <c r="H19">
        <v>1.6</v>
      </c>
      <c r="N19">
        <v>477</v>
      </c>
      <c r="O19">
        <v>35</v>
      </c>
      <c r="P19">
        <v>46</v>
      </c>
      <c r="Q19">
        <v>4.4000000000000004</v>
      </c>
      <c r="R19">
        <v>1.36</v>
      </c>
      <c r="S19">
        <v>16</v>
      </c>
      <c r="T19" t="s">
        <v>34</v>
      </c>
      <c r="U19">
        <f t="shared" si="0"/>
        <v>0</v>
      </c>
      <c r="V19" t="str">
        <f t="shared" si="1"/>
        <v>MLB</v>
      </c>
      <c r="W19" t="s">
        <v>1191</v>
      </c>
    </row>
    <row r="20" spans="1:23">
      <c r="A20">
        <v>2001</v>
      </c>
      <c r="B20">
        <v>1</v>
      </c>
      <c r="C20">
        <v>19</v>
      </c>
      <c r="D20">
        <v>19</v>
      </c>
      <c r="E20" t="s">
        <v>1080</v>
      </c>
      <c r="F20" t="s">
        <v>1081</v>
      </c>
      <c r="G20" t="s">
        <v>0</v>
      </c>
      <c r="H20">
        <v>4.3</v>
      </c>
      <c r="I20">
        <v>582</v>
      </c>
      <c r="J20">
        <v>1413</v>
      </c>
      <c r="K20">
        <v>27</v>
      </c>
      <c r="L20">
        <v>0.26500000000000001</v>
      </c>
      <c r="M20">
        <v>0.73399999999999999</v>
      </c>
      <c r="T20" t="s">
        <v>34</v>
      </c>
      <c r="U20">
        <f t="shared" si="0"/>
        <v>0</v>
      </c>
      <c r="V20" t="str">
        <f t="shared" si="1"/>
        <v>MLB</v>
      </c>
      <c r="W20" t="s">
        <v>1192</v>
      </c>
    </row>
    <row r="21" spans="1:23">
      <c r="A21">
        <v>2001</v>
      </c>
      <c r="B21">
        <v>1</v>
      </c>
      <c r="C21">
        <v>20</v>
      </c>
      <c r="D21">
        <v>20</v>
      </c>
      <c r="E21" t="s">
        <v>35</v>
      </c>
      <c r="F21" t="s">
        <v>932</v>
      </c>
      <c r="G21" t="s">
        <v>9</v>
      </c>
      <c r="H21">
        <v>1.6</v>
      </c>
      <c r="N21">
        <v>72</v>
      </c>
      <c r="O21">
        <v>18</v>
      </c>
      <c r="P21">
        <v>30</v>
      </c>
      <c r="Q21">
        <v>5.18</v>
      </c>
      <c r="R21">
        <v>1.44</v>
      </c>
      <c r="S21">
        <v>0</v>
      </c>
      <c r="T21" t="s">
        <v>52</v>
      </c>
      <c r="U21">
        <f t="shared" si="0"/>
        <v>1</v>
      </c>
      <c r="V21" t="str">
        <f t="shared" si="1"/>
        <v>MLB</v>
      </c>
      <c r="W21" t="s">
        <v>1193</v>
      </c>
    </row>
    <row r="22" spans="1:23">
      <c r="A22">
        <v>2001</v>
      </c>
      <c r="B22">
        <v>1</v>
      </c>
      <c r="C22">
        <v>21</v>
      </c>
      <c r="D22">
        <v>21</v>
      </c>
      <c r="E22" t="s">
        <v>1082</v>
      </c>
      <c r="F22" t="s">
        <v>1083</v>
      </c>
      <c r="G22" t="s">
        <v>8</v>
      </c>
      <c r="H22">
        <v>2.6</v>
      </c>
      <c r="N22">
        <v>148</v>
      </c>
      <c r="O22">
        <v>17</v>
      </c>
      <c r="P22">
        <v>23</v>
      </c>
      <c r="Q22">
        <v>4.6900000000000004</v>
      </c>
      <c r="R22">
        <v>1.49</v>
      </c>
      <c r="S22">
        <v>20</v>
      </c>
      <c r="T22" t="s">
        <v>34</v>
      </c>
      <c r="U22">
        <f t="shared" si="0"/>
        <v>0</v>
      </c>
      <c r="V22" t="str">
        <f t="shared" si="1"/>
        <v>MLB</v>
      </c>
      <c r="W22" t="s">
        <v>1194</v>
      </c>
    </row>
    <row r="23" spans="1:23">
      <c r="A23">
        <v>2001</v>
      </c>
      <c r="B23">
        <v>1</v>
      </c>
      <c r="C23">
        <v>22</v>
      </c>
      <c r="D23">
        <v>22</v>
      </c>
      <c r="E23" t="s">
        <v>91</v>
      </c>
      <c r="F23" t="s">
        <v>1084</v>
      </c>
      <c r="G23" t="s">
        <v>8</v>
      </c>
      <c r="H23">
        <v>0.7</v>
      </c>
      <c r="N23">
        <v>125</v>
      </c>
      <c r="O23">
        <v>7</v>
      </c>
      <c r="P23">
        <v>2</v>
      </c>
      <c r="Q23">
        <v>4.33</v>
      </c>
      <c r="R23">
        <v>1.41</v>
      </c>
      <c r="S23">
        <v>1</v>
      </c>
      <c r="T23" t="s">
        <v>34</v>
      </c>
      <c r="U23">
        <f t="shared" si="0"/>
        <v>0</v>
      </c>
      <c r="V23" t="str">
        <f t="shared" si="1"/>
        <v>MLB</v>
      </c>
      <c r="W23" t="s">
        <v>1195</v>
      </c>
    </row>
    <row r="24" spans="1:23">
      <c r="A24">
        <v>2001</v>
      </c>
      <c r="B24">
        <v>1</v>
      </c>
      <c r="C24">
        <v>23</v>
      </c>
      <c r="D24">
        <v>23</v>
      </c>
      <c r="E24" t="s">
        <v>1085</v>
      </c>
      <c r="F24" t="s">
        <v>1086</v>
      </c>
      <c r="G24" t="s">
        <v>2</v>
      </c>
      <c r="H24">
        <v>0.2</v>
      </c>
      <c r="I24">
        <v>13</v>
      </c>
      <c r="J24">
        <v>23</v>
      </c>
      <c r="K24">
        <v>2</v>
      </c>
      <c r="L24">
        <v>0.30399999999999999</v>
      </c>
      <c r="M24">
        <v>1.0660000000000001</v>
      </c>
      <c r="T24" t="s">
        <v>34</v>
      </c>
      <c r="U24">
        <f t="shared" si="0"/>
        <v>0</v>
      </c>
      <c r="V24" t="str">
        <f t="shared" si="1"/>
        <v>MLB</v>
      </c>
      <c r="W24" t="s">
        <v>1196</v>
      </c>
    </row>
    <row r="25" spans="1:23">
      <c r="A25">
        <v>2001</v>
      </c>
      <c r="B25">
        <v>1</v>
      </c>
      <c r="C25">
        <v>24</v>
      </c>
      <c r="D25">
        <v>24</v>
      </c>
      <c r="E25" t="s">
        <v>1087</v>
      </c>
      <c r="F25" t="s">
        <v>1088</v>
      </c>
      <c r="G25" t="s">
        <v>9</v>
      </c>
      <c r="H25">
        <v>-0.2</v>
      </c>
      <c r="N25">
        <v>132</v>
      </c>
      <c r="O25">
        <v>6</v>
      </c>
      <c r="P25">
        <v>2</v>
      </c>
      <c r="Q25">
        <v>4.3499999999999996</v>
      </c>
      <c r="R25">
        <v>1.63</v>
      </c>
      <c r="S25">
        <v>2</v>
      </c>
      <c r="T25" t="s">
        <v>52</v>
      </c>
      <c r="U25">
        <f t="shared" si="0"/>
        <v>1</v>
      </c>
      <c r="V25" t="str">
        <f t="shared" si="1"/>
        <v>MLB</v>
      </c>
      <c r="W25" t="s">
        <v>1197</v>
      </c>
    </row>
    <row r="26" spans="1:23">
      <c r="A26">
        <v>2001</v>
      </c>
      <c r="B26">
        <v>1</v>
      </c>
      <c r="C26">
        <v>25</v>
      </c>
      <c r="D26">
        <v>25</v>
      </c>
      <c r="E26" t="s">
        <v>39</v>
      </c>
      <c r="F26" t="s">
        <v>1089</v>
      </c>
      <c r="G26" t="s">
        <v>5</v>
      </c>
      <c r="H26">
        <v>5.4</v>
      </c>
      <c r="I26">
        <v>747</v>
      </c>
      <c r="J26">
        <v>2559</v>
      </c>
      <c r="K26">
        <v>62</v>
      </c>
      <c r="L26">
        <v>0.23599999999999999</v>
      </c>
      <c r="M26">
        <v>0.67700000000000005</v>
      </c>
      <c r="T26" t="s">
        <v>34</v>
      </c>
      <c r="U26">
        <f t="shared" si="0"/>
        <v>0</v>
      </c>
      <c r="V26" t="str">
        <f t="shared" si="1"/>
        <v>MLB</v>
      </c>
      <c r="W26" t="s">
        <v>1198</v>
      </c>
    </row>
    <row r="27" spans="1:23">
      <c r="A27">
        <v>2001</v>
      </c>
      <c r="B27">
        <v>1</v>
      </c>
      <c r="C27">
        <v>26</v>
      </c>
      <c r="D27">
        <v>26</v>
      </c>
      <c r="E27" t="s">
        <v>1090</v>
      </c>
      <c r="F27" t="s">
        <v>1091</v>
      </c>
      <c r="G27" t="s">
        <v>8</v>
      </c>
      <c r="H27">
        <v>4.9000000000000004</v>
      </c>
      <c r="N27">
        <v>225</v>
      </c>
      <c r="O27">
        <v>69</v>
      </c>
      <c r="P27">
        <v>81</v>
      </c>
      <c r="Q27">
        <v>4.91</v>
      </c>
      <c r="R27">
        <v>1.41</v>
      </c>
      <c r="S27">
        <v>0</v>
      </c>
      <c r="T27" t="s">
        <v>52</v>
      </c>
      <c r="U27">
        <f t="shared" si="0"/>
        <v>1</v>
      </c>
      <c r="V27" t="str">
        <f t="shared" si="1"/>
        <v>MLB</v>
      </c>
      <c r="W27" t="s">
        <v>1199</v>
      </c>
    </row>
    <row r="28" spans="1:23">
      <c r="A28">
        <v>2001</v>
      </c>
      <c r="B28">
        <v>1</v>
      </c>
      <c r="C28">
        <v>27</v>
      </c>
      <c r="D28">
        <v>27</v>
      </c>
      <c r="E28" t="s">
        <v>1092</v>
      </c>
      <c r="F28" t="s">
        <v>1093</v>
      </c>
      <c r="G28" t="s">
        <v>8</v>
      </c>
      <c r="T28" t="s">
        <v>52</v>
      </c>
      <c r="U28">
        <f t="shared" si="0"/>
        <v>1</v>
      </c>
      <c r="V28" t="s">
        <v>12</v>
      </c>
      <c r="W28">
        <v>-9999</v>
      </c>
    </row>
    <row r="29" spans="1:23">
      <c r="A29">
        <v>2001</v>
      </c>
      <c r="B29">
        <v>1</v>
      </c>
      <c r="C29">
        <v>28</v>
      </c>
      <c r="D29">
        <v>28</v>
      </c>
      <c r="E29" t="s">
        <v>46</v>
      </c>
      <c r="F29" t="s">
        <v>1094</v>
      </c>
      <c r="G29" t="s">
        <v>8</v>
      </c>
      <c r="T29" t="s">
        <v>34</v>
      </c>
      <c r="U29">
        <f t="shared" si="0"/>
        <v>0</v>
      </c>
      <c r="V29" t="s">
        <v>12</v>
      </c>
      <c r="W29">
        <v>-9999</v>
      </c>
    </row>
    <row r="30" spans="1:23">
      <c r="A30">
        <v>2001</v>
      </c>
      <c r="B30">
        <v>1</v>
      </c>
      <c r="C30">
        <v>29</v>
      </c>
      <c r="D30">
        <v>29</v>
      </c>
      <c r="E30" t="s">
        <v>81</v>
      </c>
      <c r="F30" t="s">
        <v>1095</v>
      </c>
      <c r="G30" t="s">
        <v>5</v>
      </c>
      <c r="T30" t="s">
        <v>52</v>
      </c>
      <c r="U30">
        <f t="shared" si="0"/>
        <v>1</v>
      </c>
      <c r="V30" t="s">
        <v>12</v>
      </c>
      <c r="W30">
        <v>-9999</v>
      </c>
    </row>
    <row r="31" spans="1:23">
      <c r="A31">
        <v>2001</v>
      </c>
      <c r="B31">
        <v>1</v>
      </c>
      <c r="C31">
        <v>30</v>
      </c>
      <c r="D31">
        <v>30</v>
      </c>
      <c r="E31" t="s">
        <v>59</v>
      </c>
      <c r="F31" t="s">
        <v>1096</v>
      </c>
      <c r="G31" t="s">
        <v>9</v>
      </c>
      <c r="H31">
        <v>10</v>
      </c>
      <c r="N31">
        <v>106</v>
      </c>
      <c r="O31">
        <v>40</v>
      </c>
      <c r="P31">
        <v>31</v>
      </c>
      <c r="Q31">
        <v>4.03</v>
      </c>
      <c r="R31">
        <v>1.38</v>
      </c>
      <c r="S31">
        <v>0</v>
      </c>
      <c r="T31" t="s">
        <v>34</v>
      </c>
      <c r="U31">
        <f t="shared" si="0"/>
        <v>0</v>
      </c>
      <c r="V31" t="str">
        <f t="shared" si="1"/>
        <v>MLB</v>
      </c>
      <c r="W31" t="s">
        <v>1200</v>
      </c>
    </row>
    <row r="32" spans="1:23">
      <c r="A32">
        <v>2001</v>
      </c>
      <c r="B32" t="s">
        <v>537</v>
      </c>
      <c r="C32">
        <v>31</v>
      </c>
      <c r="D32">
        <v>31</v>
      </c>
      <c r="E32" t="s">
        <v>77</v>
      </c>
      <c r="F32" t="s">
        <v>1097</v>
      </c>
      <c r="G32" t="s">
        <v>5</v>
      </c>
      <c r="T32" t="s">
        <v>52</v>
      </c>
      <c r="U32">
        <f t="shared" si="0"/>
        <v>1</v>
      </c>
      <c r="V32" t="s">
        <v>13</v>
      </c>
      <c r="W32">
        <v>-9999</v>
      </c>
    </row>
    <row r="33" spans="1:23">
      <c r="A33">
        <v>2001</v>
      </c>
      <c r="B33" t="s">
        <v>537</v>
      </c>
      <c r="C33">
        <v>32</v>
      </c>
      <c r="D33">
        <v>32</v>
      </c>
      <c r="E33" t="s">
        <v>55</v>
      </c>
      <c r="F33" t="s">
        <v>1098</v>
      </c>
      <c r="G33" t="s">
        <v>0</v>
      </c>
      <c r="T33" t="s">
        <v>34</v>
      </c>
      <c r="U33">
        <f t="shared" si="0"/>
        <v>0</v>
      </c>
      <c r="V33" t="s">
        <v>13</v>
      </c>
      <c r="W33">
        <v>-9999</v>
      </c>
    </row>
    <row r="34" spans="1:23">
      <c r="A34">
        <v>2001</v>
      </c>
      <c r="B34" t="s">
        <v>537</v>
      </c>
      <c r="C34">
        <v>33</v>
      </c>
      <c r="D34">
        <v>33</v>
      </c>
      <c r="E34" t="s">
        <v>48</v>
      </c>
      <c r="F34" t="s">
        <v>1099</v>
      </c>
      <c r="G34" t="s">
        <v>6</v>
      </c>
      <c r="H34">
        <v>0.3</v>
      </c>
      <c r="I34">
        <v>948</v>
      </c>
      <c r="J34">
        <v>2718</v>
      </c>
      <c r="K34">
        <v>53</v>
      </c>
      <c r="L34">
        <v>0.19400000000000001</v>
      </c>
      <c r="M34">
        <v>0.55100000000000005</v>
      </c>
      <c r="N34">
        <v>5</v>
      </c>
      <c r="O34">
        <v>0</v>
      </c>
      <c r="P34">
        <v>1</v>
      </c>
      <c r="Q34">
        <v>9</v>
      </c>
      <c r="R34">
        <v>1.8</v>
      </c>
      <c r="S34">
        <v>0</v>
      </c>
      <c r="T34" t="s">
        <v>52</v>
      </c>
      <c r="U34">
        <f t="shared" si="0"/>
        <v>1</v>
      </c>
      <c r="V34" t="str">
        <f t="shared" si="1"/>
        <v>MLB</v>
      </c>
      <c r="W34" t="s">
        <v>1201</v>
      </c>
    </row>
    <row r="35" spans="1:23">
      <c r="A35">
        <v>2001</v>
      </c>
      <c r="B35" t="s">
        <v>537</v>
      </c>
      <c r="C35">
        <v>34</v>
      </c>
      <c r="D35">
        <v>34</v>
      </c>
      <c r="E35" t="s">
        <v>85</v>
      </c>
      <c r="F35" t="s">
        <v>1100</v>
      </c>
      <c r="G35" t="s">
        <v>5</v>
      </c>
      <c r="H35">
        <v>0</v>
      </c>
      <c r="I35">
        <v>10</v>
      </c>
      <c r="J35">
        <v>9</v>
      </c>
      <c r="K35">
        <v>0</v>
      </c>
      <c r="L35">
        <v>0.33300000000000002</v>
      </c>
      <c r="M35">
        <v>0.75</v>
      </c>
      <c r="T35" t="s">
        <v>52</v>
      </c>
      <c r="U35">
        <f t="shared" si="0"/>
        <v>1</v>
      </c>
      <c r="V35" t="str">
        <f t="shared" si="1"/>
        <v>MLB</v>
      </c>
      <c r="W35" t="s">
        <v>1202</v>
      </c>
    </row>
    <row r="36" spans="1:23">
      <c r="A36">
        <v>2001</v>
      </c>
      <c r="B36" t="s">
        <v>537</v>
      </c>
      <c r="C36">
        <v>35</v>
      </c>
      <c r="D36">
        <v>35</v>
      </c>
      <c r="E36" t="s">
        <v>206</v>
      </c>
      <c r="F36" t="s">
        <v>1101</v>
      </c>
      <c r="G36" t="s">
        <v>8</v>
      </c>
      <c r="H36">
        <v>0.7</v>
      </c>
      <c r="N36">
        <v>24</v>
      </c>
      <c r="O36">
        <v>6</v>
      </c>
      <c r="P36">
        <v>9</v>
      </c>
      <c r="Q36">
        <v>4.32</v>
      </c>
      <c r="R36">
        <v>1.41</v>
      </c>
      <c r="S36">
        <v>0</v>
      </c>
      <c r="T36" t="s">
        <v>52</v>
      </c>
      <c r="U36">
        <f t="shared" si="0"/>
        <v>1</v>
      </c>
      <c r="V36" t="str">
        <f t="shared" si="1"/>
        <v>MLB</v>
      </c>
      <c r="W36" t="s">
        <v>1203</v>
      </c>
    </row>
    <row r="37" spans="1:23">
      <c r="A37">
        <v>2001</v>
      </c>
      <c r="B37" t="s">
        <v>537</v>
      </c>
      <c r="C37">
        <v>36</v>
      </c>
      <c r="D37">
        <v>36</v>
      </c>
      <c r="E37" t="s">
        <v>63</v>
      </c>
      <c r="F37" t="s">
        <v>1102</v>
      </c>
      <c r="G37" t="s">
        <v>5</v>
      </c>
      <c r="T37" t="s">
        <v>52</v>
      </c>
      <c r="U37">
        <f t="shared" si="0"/>
        <v>1</v>
      </c>
      <c r="V37" t="s">
        <v>12</v>
      </c>
      <c r="W37">
        <v>-9999</v>
      </c>
    </row>
    <row r="38" spans="1:23">
      <c r="A38">
        <v>2001</v>
      </c>
      <c r="B38" t="s">
        <v>537</v>
      </c>
      <c r="C38">
        <v>37</v>
      </c>
      <c r="D38">
        <v>37</v>
      </c>
      <c r="E38" t="s">
        <v>39</v>
      </c>
      <c r="F38" t="s">
        <v>1103</v>
      </c>
      <c r="G38" t="s">
        <v>9</v>
      </c>
      <c r="H38">
        <v>-0.3</v>
      </c>
      <c r="N38">
        <v>44</v>
      </c>
      <c r="O38">
        <v>8</v>
      </c>
      <c r="P38">
        <v>9</v>
      </c>
      <c r="Q38">
        <v>5.65</v>
      </c>
      <c r="R38">
        <v>1.75</v>
      </c>
      <c r="S38">
        <v>0</v>
      </c>
      <c r="T38" t="s">
        <v>34</v>
      </c>
      <c r="U38">
        <f t="shared" si="0"/>
        <v>0</v>
      </c>
      <c r="V38" t="str">
        <f t="shared" si="1"/>
        <v>MLB</v>
      </c>
      <c r="W38" t="s">
        <v>1204</v>
      </c>
    </row>
    <row r="39" spans="1:23">
      <c r="A39">
        <v>2001</v>
      </c>
      <c r="B39" t="s">
        <v>537</v>
      </c>
      <c r="C39">
        <v>38</v>
      </c>
      <c r="D39">
        <v>38</v>
      </c>
      <c r="E39" t="s">
        <v>71</v>
      </c>
      <c r="F39" t="s">
        <v>1104</v>
      </c>
      <c r="G39" t="s">
        <v>11</v>
      </c>
      <c r="H39">
        <v>49.1</v>
      </c>
      <c r="I39">
        <v>1585</v>
      </c>
      <c r="J39">
        <v>5998</v>
      </c>
      <c r="K39">
        <v>242</v>
      </c>
      <c r="L39">
        <v>0.29599999999999999</v>
      </c>
      <c r="M39">
        <v>0.86699999999999999</v>
      </c>
      <c r="T39" t="s">
        <v>52</v>
      </c>
      <c r="U39">
        <f t="shared" si="0"/>
        <v>1</v>
      </c>
      <c r="V39" t="str">
        <f t="shared" si="1"/>
        <v>MLB</v>
      </c>
      <c r="W39" t="s">
        <v>1205</v>
      </c>
    </row>
    <row r="40" spans="1:23">
      <c r="A40">
        <v>2001</v>
      </c>
      <c r="B40" t="s">
        <v>537</v>
      </c>
      <c r="C40">
        <v>39</v>
      </c>
      <c r="D40">
        <v>39</v>
      </c>
      <c r="E40" t="s">
        <v>41</v>
      </c>
      <c r="F40" t="s">
        <v>1105</v>
      </c>
      <c r="G40" t="s">
        <v>8</v>
      </c>
      <c r="T40" t="s">
        <v>34</v>
      </c>
      <c r="U40">
        <f t="shared" si="0"/>
        <v>0</v>
      </c>
      <c r="V40" t="s">
        <v>13</v>
      </c>
      <c r="W40">
        <v>-9999</v>
      </c>
    </row>
    <row r="41" spans="1:23">
      <c r="A41">
        <v>2001</v>
      </c>
      <c r="B41" t="s">
        <v>537</v>
      </c>
      <c r="C41">
        <v>40</v>
      </c>
      <c r="D41">
        <v>40</v>
      </c>
      <c r="E41" t="s">
        <v>81</v>
      </c>
      <c r="F41" t="s">
        <v>1106</v>
      </c>
      <c r="G41" t="s">
        <v>0</v>
      </c>
      <c r="T41" t="s">
        <v>34</v>
      </c>
      <c r="U41">
        <f t="shared" si="0"/>
        <v>0</v>
      </c>
      <c r="V41" t="s">
        <v>12</v>
      </c>
      <c r="W41">
        <v>-9999</v>
      </c>
    </row>
    <row r="42" spans="1:23">
      <c r="A42">
        <v>2001</v>
      </c>
      <c r="B42" t="s">
        <v>537</v>
      </c>
      <c r="C42">
        <v>41</v>
      </c>
      <c r="D42">
        <v>41</v>
      </c>
      <c r="E42" t="s">
        <v>59</v>
      </c>
      <c r="F42" t="s">
        <v>1107</v>
      </c>
      <c r="G42" t="s">
        <v>2</v>
      </c>
      <c r="H42">
        <v>-1.8</v>
      </c>
      <c r="I42">
        <v>270</v>
      </c>
      <c r="J42">
        <v>502</v>
      </c>
      <c r="K42">
        <v>8</v>
      </c>
      <c r="L42">
        <v>0.23100000000000001</v>
      </c>
      <c r="M42">
        <v>0.63800000000000001</v>
      </c>
      <c r="T42" t="s">
        <v>34</v>
      </c>
      <c r="U42">
        <f t="shared" si="0"/>
        <v>0</v>
      </c>
      <c r="V42" t="str">
        <f t="shared" si="1"/>
        <v>MLB</v>
      </c>
      <c r="W42" t="s">
        <v>1206</v>
      </c>
    </row>
    <row r="43" spans="1:23">
      <c r="A43">
        <v>2001</v>
      </c>
      <c r="B43" t="s">
        <v>537</v>
      </c>
      <c r="C43">
        <v>42</v>
      </c>
      <c r="D43">
        <v>42</v>
      </c>
      <c r="E43" t="s">
        <v>85</v>
      </c>
      <c r="F43" t="s">
        <v>1108</v>
      </c>
      <c r="G43" t="s">
        <v>8</v>
      </c>
      <c r="T43" t="s">
        <v>34</v>
      </c>
      <c r="U43">
        <f t="shared" si="0"/>
        <v>0</v>
      </c>
      <c r="V43" t="s">
        <v>13</v>
      </c>
      <c r="W43">
        <v>-9999</v>
      </c>
    </row>
    <row r="44" spans="1:23">
      <c r="A44">
        <v>2001</v>
      </c>
      <c r="B44" t="s">
        <v>537</v>
      </c>
      <c r="C44">
        <v>43</v>
      </c>
      <c r="D44">
        <v>43</v>
      </c>
      <c r="E44" t="s">
        <v>206</v>
      </c>
      <c r="F44" t="s">
        <v>1109</v>
      </c>
      <c r="G44" t="s">
        <v>2</v>
      </c>
      <c r="T44" t="s">
        <v>52</v>
      </c>
      <c r="U44">
        <f t="shared" si="0"/>
        <v>1</v>
      </c>
      <c r="V44" t="s">
        <v>14</v>
      </c>
      <c r="W44">
        <v>-9999</v>
      </c>
    </row>
    <row r="45" spans="1:23">
      <c r="A45">
        <v>2001</v>
      </c>
      <c r="B45" t="s">
        <v>537</v>
      </c>
      <c r="C45">
        <v>44</v>
      </c>
      <c r="D45">
        <v>44</v>
      </c>
      <c r="E45" t="s">
        <v>37</v>
      </c>
      <c r="F45" t="s">
        <v>1110</v>
      </c>
      <c r="G45" t="s">
        <v>5</v>
      </c>
      <c r="H45">
        <v>1.6</v>
      </c>
      <c r="I45">
        <v>466</v>
      </c>
      <c r="J45">
        <v>1305</v>
      </c>
      <c r="K45">
        <v>38</v>
      </c>
      <c r="L45">
        <v>0.21199999999999999</v>
      </c>
      <c r="M45">
        <v>0.627</v>
      </c>
      <c r="T45" t="s">
        <v>52</v>
      </c>
      <c r="U45">
        <f t="shared" si="0"/>
        <v>1</v>
      </c>
      <c r="V45" t="str">
        <f t="shared" si="1"/>
        <v>MLB</v>
      </c>
      <c r="W45" t="s">
        <v>1207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78099-06B3-4631-A4B4-FFF13C0C3F64}">
  <dimension ref="A1:W42"/>
  <sheetViews>
    <sheetView topLeftCell="A34" workbookViewId="0">
      <selection activeCell="W43" sqref="W43"/>
    </sheetView>
  </sheetViews>
  <sheetFormatPr defaultRowHeight="14.5"/>
  <cols>
    <col min="1" max="1" width="4.81640625" bestFit="1" customWidth="1"/>
    <col min="2" max="2" width="3.90625" bestFit="1" customWidth="1"/>
    <col min="3" max="3" width="6" bestFit="1" customWidth="1"/>
    <col min="4" max="4" width="5.90625" bestFit="1" customWidth="1"/>
    <col min="5" max="5" width="18.90625" bestFit="1" customWidth="1"/>
    <col min="6" max="6" width="22.90625" bestFit="1" customWidth="1"/>
    <col min="7" max="7" width="4.26953125" bestFit="1" customWidth="1"/>
    <col min="8" max="10" width="4.81640625" bestFit="1" customWidth="1"/>
    <col min="11" max="11" width="3.81640625" bestFit="1" customWidth="1"/>
    <col min="12" max="13" width="5.81640625" bestFit="1" customWidth="1"/>
    <col min="14" max="16" width="3.81640625" bestFit="1" customWidth="1"/>
    <col min="17" max="17" width="4.81640625" bestFit="1" customWidth="1"/>
    <col min="18" max="18" width="5.26953125" bestFit="1" customWidth="1"/>
    <col min="19" max="19" width="2.90625" bestFit="1" customWidth="1"/>
    <col min="20" max="20" width="4.54296875" bestFit="1" customWidth="1"/>
    <col min="21" max="21" width="4" bestFit="1" customWidth="1"/>
  </cols>
  <sheetData>
    <row r="1" spans="1:23">
      <c r="A1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>
        <v>2002</v>
      </c>
      <c r="B2">
        <v>1</v>
      </c>
      <c r="C2">
        <v>1</v>
      </c>
      <c r="D2">
        <v>1</v>
      </c>
      <c r="E2" t="s">
        <v>50</v>
      </c>
      <c r="F2" t="s">
        <v>1017</v>
      </c>
      <c r="G2" t="s">
        <v>8</v>
      </c>
      <c r="H2">
        <v>-0.2</v>
      </c>
      <c r="N2">
        <v>26</v>
      </c>
      <c r="O2">
        <v>1</v>
      </c>
      <c r="P2">
        <v>9</v>
      </c>
      <c r="Q2">
        <v>5.62</v>
      </c>
      <c r="R2">
        <v>1.58</v>
      </c>
      <c r="S2">
        <v>0</v>
      </c>
      <c r="T2" t="s">
        <v>34</v>
      </c>
      <c r="U2">
        <f>IF(ISNUMBER(SEARCH("HS",T2)),1,0)</f>
        <v>0</v>
      </c>
      <c r="V2" t="str">
        <f>IF(ISNUMBER(H2),"MLB","")</f>
        <v>MLB</v>
      </c>
      <c r="W2" t="s">
        <v>1154</v>
      </c>
    </row>
    <row r="3" spans="1:23">
      <c r="A3">
        <v>2002</v>
      </c>
      <c r="B3">
        <v>1</v>
      </c>
      <c r="C3">
        <v>2</v>
      </c>
      <c r="D3">
        <v>2</v>
      </c>
      <c r="E3" t="s">
        <v>768</v>
      </c>
      <c r="F3" t="s">
        <v>1018</v>
      </c>
      <c r="G3" t="s">
        <v>5</v>
      </c>
      <c r="H3">
        <v>16.5</v>
      </c>
      <c r="I3">
        <v>1469</v>
      </c>
      <c r="J3">
        <v>5175</v>
      </c>
      <c r="K3">
        <v>164</v>
      </c>
      <c r="L3">
        <v>0.24299999999999999</v>
      </c>
      <c r="M3">
        <v>0.72299999999999998</v>
      </c>
      <c r="T3" t="s">
        <v>52</v>
      </c>
      <c r="U3">
        <f t="shared" ref="U3:U42" si="0">IF(ISNUMBER(SEARCH("HS",T3)),1,0)</f>
        <v>1</v>
      </c>
      <c r="V3" t="str">
        <f t="shared" ref="V3:V40" si="1">IF(ISNUMBER(H3),"MLB","")</f>
        <v>MLB</v>
      </c>
      <c r="W3" t="s">
        <v>1155</v>
      </c>
    </row>
    <row r="4" spans="1:23">
      <c r="A4">
        <v>2002</v>
      </c>
      <c r="B4">
        <v>1</v>
      </c>
      <c r="C4">
        <v>3</v>
      </c>
      <c r="D4">
        <v>3</v>
      </c>
      <c r="E4" t="s">
        <v>35</v>
      </c>
      <c r="F4" t="s">
        <v>1019</v>
      </c>
      <c r="G4" t="s">
        <v>8</v>
      </c>
      <c r="T4" t="s">
        <v>52</v>
      </c>
      <c r="U4">
        <f t="shared" si="0"/>
        <v>1</v>
      </c>
      <c r="V4" t="s">
        <v>14</v>
      </c>
      <c r="W4">
        <v>-9999</v>
      </c>
    </row>
    <row r="5" spans="1:23">
      <c r="A5">
        <v>2002</v>
      </c>
      <c r="B5">
        <v>1</v>
      </c>
      <c r="C5">
        <v>4</v>
      </c>
      <c r="D5">
        <v>4</v>
      </c>
      <c r="E5" t="s">
        <v>77</v>
      </c>
      <c r="F5" t="s">
        <v>1020</v>
      </c>
      <c r="G5" t="s">
        <v>9</v>
      </c>
      <c r="H5">
        <v>-0.3</v>
      </c>
      <c r="N5">
        <v>63</v>
      </c>
      <c r="O5">
        <v>10</v>
      </c>
      <c r="P5">
        <v>8</v>
      </c>
      <c r="Q5">
        <v>5.85</v>
      </c>
      <c r="R5">
        <v>1.68</v>
      </c>
      <c r="S5">
        <v>0</v>
      </c>
      <c r="T5" t="s">
        <v>52</v>
      </c>
      <c r="U5">
        <f t="shared" si="0"/>
        <v>1</v>
      </c>
      <c r="V5" t="str">
        <f t="shared" si="1"/>
        <v>MLB</v>
      </c>
      <c r="W5" t="s">
        <v>1156</v>
      </c>
    </row>
    <row r="6" spans="1:23">
      <c r="A6">
        <v>2002</v>
      </c>
      <c r="B6">
        <v>1</v>
      </c>
      <c r="C6">
        <v>5</v>
      </c>
      <c r="D6">
        <v>5</v>
      </c>
      <c r="E6" t="s">
        <v>938</v>
      </c>
      <c r="F6" t="s">
        <v>1021</v>
      </c>
      <c r="G6" t="s">
        <v>8</v>
      </c>
      <c r="T6" t="s">
        <v>52</v>
      </c>
      <c r="U6">
        <f t="shared" si="0"/>
        <v>1</v>
      </c>
      <c r="V6" t="s">
        <v>12</v>
      </c>
      <c r="W6">
        <v>-9999</v>
      </c>
    </row>
    <row r="7" spans="1:23">
      <c r="A7">
        <v>2002</v>
      </c>
      <c r="B7">
        <v>1</v>
      </c>
      <c r="C7">
        <v>6</v>
      </c>
      <c r="D7">
        <v>6</v>
      </c>
      <c r="E7" t="s">
        <v>43</v>
      </c>
      <c r="F7" t="s">
        <v>1022</v>
      </c>
      <c r="G7" t="s">
        <v>8</v>
      </c>
      <c r="H7">
        <v>77.400000000000006</v>
      </c>
      <c r="N7">
        <v>586</v>
      </c>
      <c r="O7">
        <v>225</v>
      </c>
      <c r="P7">
        <v>156</v>
      </c>
      <c r="Q7">
        <v>3.49</v>
      </c>
      <c r="R7">
        <v>1.17</v>
      </c>
      <c r="S7">
        <v>1</v>
      </c>
      <c r="T7" t="s">
        <v>52</v>
      </c>
      <c r="U7">
        <f t="shared" si="0"/>
        <v>1</v>
      </c>
      <c r="V7" t="str">
        <f t="shared" si="1"/>
        <v>MLB</v>
      </c>
      <c r="W7" t="s">
        <v>1157</v>
      </c>
    </row>
    <row r="8" spans="1:23">
      <c r="A8">
        <v>2002</v>
      </c>
      <c r="B8">
        <v>1</v>
      </c>
      <c r="C8">
        <v>7</v>
      </c>
      <c r="D8">
        <v>7</v>
      </c>
      <c r="E8" t="s">
        <v>67</v>
      </c>
      <c r="F8" t="s">
        <v>1023</v>
      </c>
      <c r="G8" t="s">
        <v>3</v>
      </c>
      <c r="H8">
        <v>23.6</v>
      </c>
      <c r="I8">
        <v>1611</v>
      </c>
      <c r="J8">
        <v>5821</v>
      </c>
      <c r="K8">
        <v>319</v>
      </c>
      <c r="L8">
        <v>0.28299999999999997</v>
      </c>
      <c r="M8">
        <v>0.88700000000000001</v>
      </c>
      <c r="T8" t="s">
        <v>52</v>
      </c>
      <c r="U8">
        <f t="shared" si="0"/>
        <v>1</v>
      </c>
      <c r="V8" t="str">
        <f t="shared" si="1"/>
        <v>MLB</v>
      </c>
      <c r="W8" t="s">
        <v>1158</v>
      </c>
    </row>
    <row r="9" spans="1:23">
      <c r="A9">
        <v>2002</v>
      </c>
      <c r="B9">
        <v>1</v>
      </c>
      <c r="C9">
        <v>8</v>
      </c>
      <c r="D9">
        <v>8</v>
      </c>
      <c r="E9" t="s">
        <v>55</v>
      </c>
      <c r="F9" t="s">
        <v>1024</v>
      </c>
      <c r="G9" t="s">
        <v>5</v>
      </c>
      <c r="H9">
        <v>-0.8</v>
      </c>
      <c r="I9">
        <v>152</v>
      </c>
      <c r="J9">
        <v>385</v>
      </c>
      <c r="K9">
        <v>16</v>
      </c>
      <c r="L9">
        <v>0.24199999999999999</v>
      </c>
      <c r="M9">
        <v>0.71199999999999997</v>
      </c>
      <c r="T9" t="s">
        <v>52</v>
      </c>
      <c r="U9">
        <f t="shared" si="0"/>
        <v>1</v>
      </c>
      <c r="V9" t="str">
        <f t="shared" si="1"/>
        <v>MLB</v>
      </c>
      <c r="W9" t="s">
        <v>1159</v>
      </c>
    </row>
    <row r="10" spans="1:23">
      <c r="A10">
        <v>2002</v>
      </c>
      <c r="B10">
        <v>1</v>
      </c>
      <c r="C10">
        <v>9</v>
      </c>
      <c r="D10">
        <v>9</v>
      </c>
      <c r="E10" t="s">
        <v>37</v>
      </c>
      <c r="F10" t="s">
        <v>1025</v>
      </c>
      <c r="G10" t="s">
        <v>9</v>
      </c>
      <c r="H10">
        <v>9.6</v>
      </c>
      <c r="N10">
        <v>254</v>
      </c>
      <c r="O10">
        <v>72</v>
      </c>
      <c r="P10">
        <v>82</v>
      </c>
      <c r="Q10">
        <v>4.97</v>
      </c>
      <c r="R10">
        <v>1.44</v>
      </c>
      <c r="S10">
        <v>1</v>
      </c>
      <c r="T10" t="s">
        <v>34</v>
      </c>
      <c r="U10">
        <f t="shared" si="0"/>
        <v>0</v>
      </c>
      <c r="V10" t="str">
        <f t="shared" si="1"/>
        <v>MLB</v>
      </c>
      <c r="W10" t="s">
        <v>1160</v>
      </c>
    </row>
    <row r="11" spans="1:23">
      <c r="A11">
        <v>2002</v>
      </c>
      <c r="B11">
        <v>1</v>
      </c>
      <c r="C11">
        <v>10</v>
      </c>
      <c r="D11">
        <v>10</v>
      </c>
      <c r="E11" t="s">
        <v>93</v>
      </c>
      <c r="F11" t="s">
        <v>1026</v>
      </c>
      <c r="G11" t="s">
        <v>5</v>
      </c>
      <c r="H11">
        <v>-0.3</v>
      </c>
      <c r="I11">
        <v>5</v>
      </c>
      <c r="J11">
        <v>14</v>
      </c>
      <c r="K11">
        <v>0</v>
      </c>
      <c r="L11">
        <v>0.214</v>
      </c>
      <c r="M11">
        <v>0.42899999999999999</v>
      </c>
      <c r="T11" t="s">
        <v>34</v>
      </c>
      <c r="U11">
        <f t="shared" si="0"/>
        <v>0</v>
      </c>
      <c r="V11" t="str">
        <f t="shared" si="1"/>
        <v>MLB</v>
      </c>
      <c r="W11" t="s">
        <v>1161</v>
      </c>
    </row>
    <row r="12" spans="1:23">
      <c r="A12">
        <v>2002</v>
      </c>
      <c r="B12">
        <v>1</v>
      </c>
      <c r="C12">
        <v>11</v>
      </c>
      <c r="D12">
        <v>11</v>
      </c>
      <c r="E12" t="s">
        <v>65</v>
      </c>
      <c r="F12" t="s">
        <v>1027</v>
      </c>
      <c r="G12" t="s">
        <v>2</v>
      </c>
      <c r="H12">
        <v>2.7</v>
      </c>
      <c r="I12">
        <v>632</v>
      </c>
      <c r="J12">
        <v>2012</v>
      </c>
      <c r="K12">
        <v>65</v>
      </c>
      <c r="L12">
        <v>0.25700000000000001</v>
      </c>
      <c r="M12">
        <v>0.749</v>
      </c>
      <c r="T12" t="s">
        <v>52</v>
      </c>
      <c r="U12">
        <f t="shared" si="0"/>
        <v>1</v>
      </c>
      <c r="V12" t="str">
        <f t="shared" si="1"/>
        <v>MLB</v>
      </c>
      <c r="W12" t="s">
        <v>1162</v>
      </c>
    </row>
    <row r="13" spans="1:23">
      <c r="A13">
        <v>2002</v>
      </c>
      <c r="B13">
        <v>1</v>
      </c>
      <c r="C13">
        <v>12</v>
      </c>
      <c r="D13">
        <v>12</v>
      </c>
      <c r="E13" t="s">
        <v>48</v>
      </c>
      <c r="F13" t="s">
        <v>1028</v>
      </c>
      <c r="G13" t="s">
        <v>9</v>
      </c>
      <c r="H13">
        <v>8.4</v>
      </c>
      <c r="N13">
        <v>235</v>
      </c>
      <c r="O13">
        <v>89</v>
      </c>
      <c r="P13">
        <v>86</v>
      </c>
      <c r="Q13">
        <v>4.37</v>
      </c>
      <c r="R13">
        <v>1.42</v>
      </c>
      <c r="S13">
        <v>0</v>
      </c>
      <c r="T13" t="s">
        <v>34</v>
      </c>
      <c r="U13">
        <f t="shared" si="0"/>
        <v>0</v>
      </c>
      <c r="V13" t="str">
        <f t="shared" si="1"/>
        <v>MLB</v>
      </c>
      <c r="W13" t="s">
        <v>1163</v>
      </c>
    </row>
    <row r="14" spans="1:23">
      <c r="A14">
        <v>2002</v>
      </c>
      <c r="B14">
        <v>1</v>
      </c>
      <c r="C14">
        <v>13</v>
      </c>
      <c r="D14">
        <v>13</v>
      </c>
      <c r="E14" t="s">
        <v>83</v>
      </c>
      <c r="F14" t="s">
        <v>1029</v>
      </c>
      <c r="G14" t="s">
        <v>5</v>
      </c>
      <c r="H14">
        <v>8.5</v>
      </c>
      <c r="I14">
        <v>736</v>
      </c>
      <c r="J14">
        <v>2567</v>
      </c>
      <c r="K14">
        <v>90</v>
      </c>
      <c r="L14">
        <v>0.245</v>
      </c>
      <c r="M14">
        <v>0.72299999999999998</v>
      </c>
      <c r="T14" t="s">
        <v>34</v>
      </c>
      <c r="U14">
        <f t="shared" si="0"/>
        <v>0</v>
      </c>
      <c r="V14" t="str">
        <f t="shared" si="1"/>
        <v>MLB</v>
      </c>
      <c r="W14" t="s">
        <v>1164</v>
      </c>
    </row>
    <row r="15" spans="1:23">
      <c r="A15">
        <v>2002</v>
      </c>
      <c r="B15">
        <v>1</v>
      </c>
      <c r="C15">
        <v>14</v>
      </c>
      <c r="D15">
        <v>14</v>
      </c>
      <c r="E15" t="s">
        <v>73</v>
      </c>
      <c r="F15" t="s">
        <v>1030</v>
      </c>
      <c r="G15" t="s">
        <v>5</v>
      </c>
      <c r="H15">
        <v>0</v>
      </c>
      <c r="I15">
        <v>286</v>
      </c>
      <c r="J15">
        <v>884</v>
      </c>
      <c r="K15">
        <v>17</v>
      </c>
      <c r="L15">
        <v>0.247</v>
      </c>
      <c r="M15">
        <v>0.68500000000000005</v>
      </c>
      <c r="T15" t="s">
        <v>34</v>
      </c>
      <c r="U15">
        <f t="shared" si="0"/>
        <v>0</v>
      </c>
      <c r="V15" t="str">
        <f t="shared" si="1"/>
        <v>MLB</v>
      </c>
      <c r="W15" t="s">
        <v>1165</v>
      </c>
    </row>
    <row r="16" spans="1:23">
      <c r="A16">
        <v>2002</v>
      </c>
      <c r="B16">
        <v>1</v>
      </c>
      <c r="C16">
        <v>15</v>
      </c>
      <c r="D16">
        <v>15</v>
      </c>
      <c r="E16" t="s">
        <v>71</v>
      </c>
      <c r="F16" t="s">
        <v>1031</v>
      </c>
      <c r="G16" t="s">
        <v>9</v>
      </c>
      <c r="H16">
        <v>22.3</v>
      </c>
      <c r="N16">
        <v>303</v>
      </c>
      <c r="O16">
        <v>108</v>
      </c>
      <c r="P16">
        <v>97</v>
      </c>
      <c r="Q16">
        <v>4.0199999999999996</v>
      </c>
      <c r="R16">
        <v>1.35</v>
      </c>
      <c r="S16">
        <v>0</v>
      </c>
      <c r="T16" t="s">
        <v>52</v>
      </c>
      <c r="U16">
        <f t="shared" si="0"/>
        <v>1</v>
      </c>
      <c r="V16" t="str">
        <f t="shared" si="1"/>
        <v>MLB</v>
      </c>
      <c r="W16" t="s">
        <v>1166</v>
      </c>
    </row>
    <row r="17" spans="1:23">
      <c r="A17">
        <v>2002</v>
      </c>
      <c r="B17">
        <v>1</v>
      </c>
      <c r="C17">
        <v>16</v>
      </c>
      <c r="D17">
        <v>16</v>
      </c>
      <c r="E17" t="s">
        <v>951</v>
      </c>
      <c r="F17" t="s">
        <v>1032</v>
      </c>
      <c r="G17" t="s">
        <v>3</v>
      </c>
      <c r="H17">
        <v>21.5</v>
      </c>
      <c r="I17">
        <v>1527</v>
      </c>
      <c r="J17">
        <v>5369</v>
      </c>
      <c r="K17">
        <v>245</v>
      </c>
      <c r="L17">
        <v>0.249</v>
      </c>
      <c r="M17">
        <v>0.79900000000000004</v>
      </c>
      <c r="S17">
        <v>0</v>
      </c>
      <c r="T17" t="s">
        <v>34</v>
      </c>
      <c r="U17">
        <f t="shared" si="0"/>
        <v>0</v>
      </c>
      <c r="V17" t="str">
        <f t="shared" si="1"/>
        <v>MLB</v>
      </c>
      <c r="W17" t="s">
        <v>1167</v>
      </c>
    </row>
    <row r="18" spans="1:23">
      <c r="A18">
        <v>2002</v>
      </c>
      <c r="B18">
        <v>1</v>
      </c>
      <c r="C18">
        <v>17</v>
      </c>
      <c r="D18">
        <v>17</v>
      </c>
      <c r="E18" t="s">
        <v>87</v>
      </c>
      <c r="F18" t="s">
        <v>1033</v>
      </c>
      <c r="G18" t="s">
        <v>9</v>
      </c>
      <c r="H18">
        <v>59</v>
      </c>
      <c r="N18">
        <v>423</v>
      </c>
      <c r="O18">
        <v>163</v>
      </c>
      <c r="P18">
        <v>122</v>
      </c>
      <c r="Q18">
        <v>3.43</v>
      </c>
      <c r="R18">
        <v>1.18</v>
      </c>
      <c r="S18">
        <v>0</v>
      </c>
      <c r="T18" t="s">
        <v>52</v>
      </c>
      <c r="U18">
        <f t="shared" si="0"/>
        <v>1</v>
      </c>
      <c r="V18" t="str">
        <f t="shared" si="1"/>
        <v>MLB</v>
      </c>
      <c r="W18" t="s">
        <v>1168</v>
      </c>
    </row>
    <row r="19" spans="1:23">
      <c r="A19">
        <v>2002</v>
      </c>
      <c r="B19">
        <v>1</v>
      </c>
      <c r="C19">
        <v>18</v>
      </c>
      <c r="D19">
        <v>18</v>
      </c>
      <c r="E19" t="s">
        <v>41</v>
      </c>
      <c r="F19" t="s">
        <v>1034</v>
      </c>
      <c r="G19" t="s">
        <v>9</v>
      </c>
      <c r="H19">
        <v>-0.9</v>
      </c>
      <c r="N19">
        <v>99</v>
      </c>
      <c r="O19">
        <v>3</v>
      </c>
      <c r="P19">
        <v>3</v>
      </c>
      <c r="Q19">
        <v>5.29</v>
      </c>
      <c r="R19">
        <v>1.57</v>
      </c>
      <c r="S19">
        <v>0</v>
      </c>
      <c r="T19" t="s">
        <v>34</v>
      </c>
      <c r="U19">
        <f t="shared" si="0"/>
        <v>0</v>
      </c>
      <c r="V19" t="str">
        <f t="shared" si="1"/>
        <v>MLB</v>
      </c>
      <c r="W19" t="s">
        <v>1169</v>
      </c>
    </row>
    <row r="20" spans="1:23">
      <c r="A20">
        <v>2002</v>
      </c>
      <c r="B20">
        <v>1</v>
      </c>
      <c r="C20">
        <v>19</v>
      </c>
      <c r="D20">
        <v>19</v>
      </c>
      <c r="E20" t="s">
        <v>79</v>
      </c>
      <c r="F20" t="s">
        <v>1035</v>
      </c>
      <c r="G20" t="s">
        <v>3</v>
      </c>
      <c r="H20">
        <v>11.4</v>
      </c>
      <c r="I20">
        <v>1443</v>
      </c>
      <c r="J20">
        <v>5023</v>
      </c>
      <c r="K20">
        <v>108</v>
      </c>
      <c r="L20">
        <v>0.28399999999999997</v>
      </c>
      <c r="M20">
        <v>0.746</v>
      </c>
      <c r="T20" t="s">
        <v>52</v>
      </c>
      <c r="U20">
        <f t="shared" si="0"/>
        <v>1</v>
      </c>
      <c r="V20" t="str">
        <f t="shared" si="1"/>
        <v>MLB</v>
      </c>
      <c r="W20" t="s">
        <v>1170</v>
      </c>
    </row>
    <row r="21" spans="1:23">
      <c r="A21">
        <v>2002</v>
      </c>
      <c r="B21">
        <v>1</v>
      </c>
      <c r="C21">
        <v>20</v>
      </c>
      <c r="D21">
        <v>20</v>
      </c>
      <c r="E21" t="s">
        <v>75</v>
      </c>
      <c r="F21" t="s">
        <v>1036</v>
      </c>
      <c r="G21" t="s">
        <v>2</v>
      </c>
      <c r="H21">
        <v>28</v>
      </c>
      <c r="I21">
        <v>1359</v>
      </c>
      <c r="J21">
        <v>5326</v>
      </c>
      <c r="K21">
        <v>71</v>
      </c>
      <c r="L21">
        <v>0.28100000000000003</v>
      </c>
      <c r="M21">
        <v>0.745</v>
      </c>
      <c r="T21" t="s">
        <v>52</v>
      </c>
      <c r="U21">
        <f t="shared" si="0"/>
        <v>1</v>
      </c>
      <c r="V21" t="str">
        <f t="shared" si="1"/>
        <v>MLB</v>
      </c>
      <c r="W21" t="s">
        <v>1171</v>
      </c>
    </row>
    <row r="22" spans="1:23">
      <c r="A22">
        <v>2002</v>
      </c>
      <c r="B22">
        <v>1</v>
      </c>
      <c r="C22">
        <v>21</v>
      </c>
      <c r="D22">
        <v>21</v>
      </c>
      <c r="E22" t="s">
        <v>61</v>
      </c>
      <c r="F22" t="s">
        <v>1037</v>
      </c>
      <c r="G22" t="s">
        <v>8</v>
      </c>
      <c r="T22" t="s">
        <v>34</v>
      </c>
      <c r="U22">
        <f t="shared" si="0"/>
        <v>0</v>
      </c>
      <c r="V22" t="s">
        <v>12</v>
      </c>
      <c r="W22">
        <v>-9999</v>
      </c>
    </row>
    <row r="23" spans="1:23">
      <c r="A23">
        <v>2002</v>
      </c>
      <c r="B23">
        <v>1</v>
      </c>
      <c r="C23">
        <v>22</v>
      </c>
      <c r="D23">
        <v>22</v>
      </c>
      <c r="E23" t="s">
        <v>206</v>
      </c>
      <c r="F23" t="s">
        <v>1038</v>
      </c>
      <c r="G23" t="s">
        <v>8</v>
      </c>
      <c r="H23">
        <v>18.5</v>
      </c>
      <c r="N23">
        <v>306</v>
      </c>
      <c r="O23">
        <v>91</v>
      </c>
      <c r="P23">
        <v>109</v>
      </c>
      <c r="Q23">
        <v>4.42</v>
      </c>
      <c r="R23">
        <v>1.34</v>
      </c>
      <c r="S23">
        <v>0</v>
      </c>
      <c r="T23" t="s">
        <v>34</v>
      </c>
      <c r="U23">
        <f t="shared" si="0"/>
        <v>0</v>
      </c>
      <c r="V23" t="str">
        <f t="shared" si="1"/>
        <v>MLB</v>
      </c>
      <c r="W23" t="s">
        <v>1172</v>
      </c>
    </row>
    <row r="24" spans="1:23">
      <c r="A24">
        <v>2002</v>
      </c>
      <c r="B24">
        <v>1</v>
      </c>
      <c r="C24">
        <v>23</v>
      </c>
      <c r="D24">
        <v>23</v>
      </c>
      <c r="E24" t="s">
        <v>81</v>
      </c>
      <c r="F24" t="s">
        <v>1039</v>
      </c>
      <c r="G24" t="s">
        <v>2</v>
      </c>
      <c r="H24">
        <v>6.7</v>
      </c>
      <c r="I24">
        <v>1480</v>
      </c>
      <c r="J24">
        <v>5260</v>
      </c>
      <c r="K24">
        <v>160</v>
      </c>
      <c r="L24">
        <v>0.26100000000000001</v>
      </c>
      <c r="M24">
        <v>0.71899999999999997</v>
      </c>
      <c r="N24">
        <v>1</v>
      </c>
      <c r="O24">
        <v>0</v>
      </c>
      <c r="P24">
        <v>0</v>
      </c>
      <c r="Q24">
        <v>9</v>
      </c>
      <c r="R24">
        <v>2</v>
      </c>
      <c r="S24">
        <v>0</v>
      </c>
      <c r="T24" t="s">
        <v>52</v>
      </c>
      <c r="U24">
        <f t="shared" si="0"/>
        <v>1</v>
      </c>
      <c r="V24" t="str">
        <f t="shared" si="1"/>
        <v>MLB</v>
      </c>
      <c r="W24" t="s">
        <v>1173</v>
      </c>
    </row>
    <row r="25" spans="1:23">
      <c r="A25">
        <v>2002</v>
      </c>
      <c r="B25">
        <v>1</v>
      </c>
      <c r="C25">
        <v>24</v>
      </c>
      <c r="D25">
        <v>24</v>
      </c>
      <c r="E25" t="s">
        <v>1040</v>
      </c>
      <c r="F25" t="s">
        <v>1041</v>
      </c>
      <c r="G25" t="s">
        <v>8</v>
      </c>
      <c r="H25">
        <v>11.8</v>
      </c>
      <c r="N25">
        <v>427</v>
      </c>
      <c r="O25">
        <v>101</v>
      </c>
      <c r="P25">
        <v>97</v>
      </c>
      <c r="Q25">
        <v>4.38</v>
      </c>
      <c r="R25">
        <v>1.34</v>
      </c>
      <c r="S25">
        <v>2</v>
      </c>
      <c r="T25" t="s">
        <v>34</v>
      </c>
      <c r="U25">
        <f t="shared" si="0"/>
        <v>0</v>
      </c>
      <c r="V25" t="str">
        <f t="shared" si="1"/>
        <v>MLB</v>
      </c>
      <c r="W25" t="s">
        <v>1174</v>
      </c>
    </row>
    <row r="26" spans="1:23">
      <c r="A26">
        <v>2002</v>
      </c>
      <c r="B26">
        <v>1</v>
      </c>
      <c r="C26">
        <v>25</v>
      </c>
      <c r="D26">
        <v>25</v>
      </c>
      <c r="E26" t="s">
        <v>59</v>
      </c>
      <c r="F26" t="s">
        <v>1042</v>
      </c>
      <c r="G26" t="s">
        <v>8</v>
      </c>
      <c r="H26">
        <v>29</v>
      </c>
      <c r="N26">
        <v>342</v>
      </c>
      <c r="O26">
        <v>104</v>
      </c>
      <c r="P26">
        <v>118</v>
      </c>
      <c r="Q26">
        <v>3.68</v>
      </c>
      <c r="R26">
        <v>1.23</v>
      </c>
      <c r="S26">
        <v>0</v>
      </c>
      <c r="T26" t="s">
        <v>52</v>
      </c>
      <c r="U26">
        <f t="shared" si="0"/>
        <v>1</v>
      </c>
      <c r="V26" t="str">
        <f t="shared" si="1"/>
        <v>MLB</v>
      </c>
      <c r="W26" t="s">
        <v>1175</v>
      </c>
    </row>
    <row r="27" spans="1:23">
      <c r="A27">
        <v>2002</v>
      </c>
      <c r="B27">
        <v>1</v>
      </c>
      <c r="C27">
        <v>26</v>
      </c>
      <c r="D27">
        <v>26</v>
      </c>
      <c r="E27" t="s">
        <v>39</v>
      </c>
      <c r="F27" t="s">
        <v>1043</v>
      </c>
      <c r="G27" t="s">
        <v>5</v>
      </c>
      <c r="T27" t="s">
        <v>34</v>
      </c>
      <c r="U27">
        <f t="shared" si="0"/>
        <v>0</v>
      </c>
      <c r="V27" t="s">
        <v>12</v>
      </c>
      <c r="W27">
        <v>-9999</v>
      </c>
    </row>
    <row r="28" spans="1:23">
      <c r="A28">
        <v>2002</v>
      </c>
      <c r="B28">
        <v>1</v>
      </c>
      <c r="C28">
        <v>27</v>
      </c>
      <c r="D28">
        <v>27</v>
      </c>
      <c r="E28" t="s">
        <v>91</v>
      </c>
      <c r="F28" t="s">
        <v>1044</v>
      </c>
      <c r="G28" t="s">
        <v>5</v>
      </c>
      <c r="H28">
        <v>2</v>
      </c>
      <c r="N28">
        <v>194</v>
      </c>
      <c r="O28">
        <v>7</v>
      </c>
      <c r="P28">
        <v>12</v>
      </c>
      <c r="Q28">
        <v>3.98</v>
      </c>
      <c r="R28">
        <v>1.33</v>
      </c>
      <c r="S28">
        <v>39</v>
      </c>
      <c r="T28" t="s">
        <v>52</v>
      </c>
      <c r="U28">
        <f t="shared" si="0"/>
        <v>1</v>
      </c>
      <c r="V28" t="str">
        <f t="shared" si="1"/>
        <v>MLB</v>
      </c>
      <c r="W28" t="s">
        <v>1176</v>
      </c>
    </row>
    <row r="29" spans="1:23">
      <c r="A29">
        <v>2002</v>
      </c>
      <c r="B29">
        <v>1</v>
      </c>
      <c r="C29">
        <v>28</v>
      </c>
      <c r="D29">
        <v>28</v>
      </c>
      <c r="E29" t="s">
        <v>63</v>
      </c>
      <c r="F29" t="s">
        <v>892</v>
      </c>
      <c r="G29" t="s">
        <v>2</v>
      </c>
      <c r="H29">
        <v>1.5</v>
      </c>
      <c r="I29">
        <v>574</v>
      </c>
      <c r="J29">
        <v>1386</v>
      </c>
      <c r="K29">
        <v>56</v>
      </c>
      <c r="L29">
        <v>0.23499999999999999</v>
      </c>
      <c r="M29">
        <v>0.72</v>
      </c>
      <c r="T29" t="s">
        <v>52</v>
      </c>
      <c r="U29">
        <f t="shared" si="0"/>
        <v>1</v>
      </c>
      <c r="V29" t="str">
        <f t="shared" si="1"/>
        <v>MLB</v>
      </c>
      <c r="W29" t="s">
        <v>1177</v>
      </c>
    </row>
    <row r="30" spans="1:23">
      <c r="A30">
        <v>2002</v>
      </c>
      <c r="B30">
        <v>1</v>
      </c>
      <c r="C30">
        <v>29</v>
      </c>
      <c r="D30">
        <v>29</v>
      </c>
      <c r="E30" t="s">
        <v>89</v>
      </c>
      <c r="F30" t="s">
        <v>1045</v>
      </c>
      <c r="G30" t="s">
        <v>8</v>
      </c>
      <c r="T30" t="s">
        <v>163</v>
      </c>
      <c r="U30">
        <f t="shared" si="0"/>
        <v>0</v>
      </c>
      <c r="V30" t="s">
        <v>14</v>
      </c>
      <c r="W30">
        <v>-9999</v>
      </c>
    </row>
    <row r="31" spans="1:23">
      <c r="A31">
        <v>2002</v>
      </c>
      <c r="B31">
        <v>1</v>
      </c>
      <c r="C31">
        <v>30</v>
      </c>
      <c r="D31">
        <v>30</v>
      </c>
      <c r="E31" t="s">
        <v>1046</v>
      </c>
      <c r="F31" t="s">
        <v>1047</v>
      </c>
      <c r="G31" t="s">
        <v>8</v>
      </c>
      <c r="T31" t="s">
        <v>34</v>
      </c>
      <c r="U31">
        <f t="shared" si="0"/>
        <v>0</v>
      </c>
      <c r="V31" t="s">
        <v>12</v>
      </c>
      <c r="W31">
        <v>-9999</v>
      </c>
    </row>
    <row r="32" spans="1:23">
      <c r="A32">
        <v>2002</v>
      </c>
      <c r="B32" t="s">
        <v>537</v>
      </c>
      <c r="C32">
        <v>31</v>
      </c>
      <c r="D32">
        <v>31</v>
      </c>
      <c r="E32" t="s">
        <v>79</v>
      </c>
      <c r="F32" t="s">
        <v>1048</v>
      </c>
      <c r="G32" t="s">
        <v>9</v>
      </c>
      <c r="T32" t="s">
        <v>52</v>
      </c>
      <c r="U32">
        <f t="shared" si="0"/>
        <v>1</v>
      </c>
      <c r="V32" t="s">
        <v>12</v>
      </c>
      <c r="W32">
        <v>-9999</v>
      </c>
    </row>
    <row r="33" spans="1:23">
      <c r="A33">
        <v>2002</v>
      </c>
      <c r="B33" t="s">
        <v>537</v>
      </c>
      <c r="C33">
        <v>32</v>
      </c>
      <c r="D33">
        <v>32</v>
      </c>
      <c r="E33" t="s">
        <v>61</v>
      </c>
      <c r="F33" t="s">
        <v>1049</v>
      </c>
      <c r="G33" t="s">
        <v>9</v>
      </c>
      <c r="T33" t="s">
        <v>34</v>
      </c>
      <c r="U33">
        <f t="shared" si="0"/>
        <v>0</v>
      </c>
      <c r="V33" t="s">
        <v>14</v>
      </c>
      <c r="W33">
        <v>-9999</v>
      </c>
    </row>
    <row r="34" spans="1:23">
      <c r="A34">
        <v>2002</v>
      </c>
      <c r="B34" t="s">
        <v>537</v>
      </c>
      <c r="C34">
        <v>33</v>
      </c>
      <c r="D34">
        <v>33</v>
      </c>
      <c r="E34" t="s">
        <v>206</v>
      </c>
      <c r="F34" t="s">
        <v>1050</v>
      </c>
      <c r="G34" t="s">
        <v>11</v>
      </c>
      <c r="T34" t="s">
        <v>52</v>
      </c>
      <c r="U34">
        <f t="shared" si="0"/>
        <v>1</v>
      </c>
      <c r="V34" t="s">
        <v>12</v>
      </c>
      <c r="W34">
        <v>-9999</v>
      </c>
    </row>
    <row r="35" spans="1:23">
      <c r="A35">
        <v>2002</v>
      </c>
      <c r="B35" t="s">
        <v>537</v>
      </c>
      <c r="C35">
        <v>34</v>
      </c>
      <c r="D35">
        <v>34</v>
      </c>
      <c r="E35" t="s">
        <v>81</v>
      </c>
      <c r="F35" t="s">
        <v>1051</v>
      </c>
      <c r="G35" t="s">
        <v>9</v>
      </c>
      <c r="H35">
        <v>-0.9</v>
      </c>
      <c r="N35">
        <v>103</v>
      </c>
      <c r="O35">
        <v>3</v>
      </c>
      <c r="P35">
        <v>9</v>
      </c>
      <c r="Q35">
        <v>5.46</v>
      </c>
      <c r="R35">
        <v>1.55</v>
      </c>
      <c r="S35">
        <v>2</v>
      </c>
      <c r="T35" t="s">
        <v>34</v>
      </c>
      <c r="U35">
        <f t="shared" si="0"/>
        <v>0</v>
      </c>
      <c r="V35" t="str">
        <f t="shared" si="1"/>
        <v>MLB</v>
      </c>
      <c r="W35" t="s">
        <v>1178</v>
      </c>
    </row>
    <row r="36" spans="1:23">
      <c r="A36">
        <v>2002</v>
      </c>
      <c r="B36" t="s">
        <v>537</v>
      </c>
      <c r="C36">
        <v>35</v>
      </c>
      <c r="D36">
        <v>35</v>
      </c>
      <c r="E36" t="s">
        <v>39</v>
      </c>
      <c r="F36" t="s">
        <v>1052</v>
      </c>
      <c r="G36" t="s">
        <v>6</v>
      </c>
      <c r="H36">
        <v>0.1</v>
      </c>
      <c r="I36">
        <v>5</v>
      </c>
      <c r="J36">
        <v>10</v>
      </c>
      <c r="K36">
        <v>0</v>
      </c>
      <c r="L36">
        <v>0.3</v>
      </c>
      <c r="M36">
        <v>0.86399999999999999</v>
      </c>
      <c r="T36" t="s">
        <v>34</v>
      </c>
      <c r="U36">
        <f t="shared" si="0"/>
        <v>0</v>
      </c>
      <c r="V36" t="str">
        <f t="shared" si="1"/>
        <v>MLB</v>
      </c>
      <c r="W36" t="s">
        <v>1179</v>
      </c>
    </row>
    <row r="37" spans="1:23">
      <c r="A37">
        <v>2002</v>
      </c>
      <c r="B37" t="s">
        <v>537</v>
      </c>
      <c r="C37">
        <v>36</v>
      </c>
      <c r="D37">
        <v>36</v>
      </c>
      <c r="E37" t="s">
        <v>61</v>
      </c>
      <c r="F37" t="s">
        <v>1053</v>
      </c>
      <c r="G37" t="s">
        <v>8</v>
      </c>
      <c r="T37" t="s">
        <v>34</v>
      </c>
      <c r="U37">
        <f t="shared" si="0"/>
        <v>0</v>
      </c>
      <c r="V37" t="s">
        <v>13</v>
      </c>
      <c r="W37">
        <v>-9999</v>
      </c>
    </row>
    <row r="38" spans="1:23">
      <c r="A38">
        <v>2002</v>
      </c>
      <c r="B38" t="s">
        <v>537</v>
      </c>
      <c r="C38">
        <v>37</v>
      </c>
      <c r="D38">
        <v>37</v>
      </c>
      <c r="E38" t="s">
        <v>39</v>
      </c>
      <c r="F38" t="s">
        <v>1054</v>
      </c>
      <c r="G38" t="s">
        <v>8</v>
      </c>
      <c r="T38" t="s">
        <v>34</v>
      </c>
      <c r="U38">
        <f t="shared" si="0"/>
        <v>0</v>
      </c>
      <c r="V38" t="s">
        <v>13</v>
      </c>
      <c r="W38">
        <v>-9999</v>
      </c>
    </row>
    <row r="39" spans="1:23">
      <c r="A39">
        <v>2002</v>
      </c>
      <c r="B39" t="s">
        <v>537</v>
      </c>
      <c r="C39">
        <v>38</v>
      </c>
      <c r="D39">
        <v>38</v>
      </c>
      <c r="E39" t="s">
        <v>61</v>
      </c>
      <c r="F39" t="s">
        <v>1055</v>
      </c>
      <c r="G39" t="s">
        <v>8</v>
      </c>
      <c r="T39" t="s">
        <v>163</v>
      </c>
      <c r="U39">
        <f t="shared" si="0"/>
        <v>0</v>
      </c>
      <c r="V39" t="s">
        <v>1112</v>
      </c>
      <c r="W39">
        <v>-9999</v>
      </c>
    </row>
    <row r="40" spans="1:23">
      <c r="A40">
        <v>2002</v>
      </c>
      <c r="B40" t="s">
        <v>537</v>
      </c>
      <c r="C40">
        <v>39</v>
      </c>
      <c r="D40">
        <v>39</v>
      </c>
      <c r="E40" t="s">
        <v>39</v>
      </c>
      <c r="F40" t="s">
        <v>1056</v>
      </c>
      <c r="G40" t="s">
        <v>11</v>
      </c>
      <c r="H40">
        <v>2.6</v>
      </c>
      <c r="I40">
        <v>831</v>
      </c>
      <c r="J40">
        <v>2873</v>
      </c>
      <c r="K40">
        <v>67</v>
      </c>
      <c r="L40">
        <v>0.26400000000000001</v>
      </c>
      <c r="M40">
        <v>0.73599999999999999</v>
      </c>
      <c r="T40" t="s">
        <v>34</v>
      </c>
      <c r="U40">
        <f t="shared" si="0"/>
        <v>0</v>
      </c>
      <c r="V40" t="str">
        <f t="shared" si="1"/>
        <v>MLB</v>
      </c>
      <c r="W40" t="s">
        <v>1180</v>
      </c>
    </row>
    <row r="41" spans="1:23">
      <c r="A41">
        <v>2002</v>
      </c>
      <c r="B41" t="s">
        <v>537</v>
      </c>
      <c r="C41">
        <v>40</v>
      </c>
      <c r="D41">
        <v>40</v>
      </c>
      <c r="E41" t="s">
        <v>35</v>
      </c>
      <c r="F41" t="s">
        <v>1057</v>
      </c>
      <c r="G41" t="s">
        <v>11</v>
      </c>
      <c r="T41" t="s">
        <v>34</v>
      </c>
      <c r="U41">
        <f t="shared" si="0"/>
        <v>0</v>
      </c>
      <c r="V41" t="s">
        <v>13</v>
      </c>
      <c r="W41">
        <v>-9999</v>
      </c>
    </row>
    <row r="42" spans="1:23">
      <c r="A42">
        <v>2002</v>
      </c>
      <c r="B42" t="s">
        <v>537</v>
      </c>
      <c r="C42">
        <v>41</v>
      </c>
      <c r="D42">
        <v>41</v>
      </c>
      <c r="E42" t="s">
        <v>206</v>
      </c>
      <c r="F42" t="s">
        <v>1058</v>
      </c>
      <c r="G42" t="s">
        <v>0</v>
      </c>
      <c r="T42" t="s">
        <v>52</v>
      </c>
      <c r="U42">
        <f t="shared" si="0"/>
        <v>1</v>
      </c>
      <c r="V42" t="s">
        <v>14</v>
      </c>
      <c r="W42">
        <v>-9999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90503-1699-49D0-B4A8-6D486AE00F17}">
  <dimension ref="A1:W38"/>
  <sheetViews>
    <sheetView workbookViewId="0">
      <selection activeCell="X2" sqref="X2"/>
    </sheetView>
  </sheetViews>
  <sheetFormatPr defaultRowHeight="14.5"/>
  <cols>
    <col min="1" max="1" width="4.81640625" bestFit="1" customWidth="1"/>
    <col min="2" max="2" width="3.90625" bestFit="1" customWidth="1"/>
    <col min="3" max="3" width="6" bestFit="1" customWidth="1"/>
    <col min="4" max="4" width="5.90625" bestFit="1" customWidth="1"/>
    <col min="5" max="5" width="23.26953125" bestFit="1" customWidth="1"/>
    <col min="6" max="6" width="27.1796875" bestFit="1" customWidth="1"/>
    <col min="7" max="7" width="4.26953125" bestFit="1" customWidth="1"/>
    <col min="8" max="10" width="4.81640625" bestFit="1" customWidth="1"/>
    <col min="11" max="11" width="3.81640625" bestFit="1" customWidth="1"/>
    <col min="12" max="13" width="5.81640625" bestFit="1" customWidth="1"/>
    <col min="14" max="14" width="3.81640625" bestFit="1" customWidth="1"/>
    <col min="15" max="15" width="2.81640625" bestFit="1" customWidth="1"/>
    <col min="16" max="16" width="3.81640625" bestFit="1" customWidth="1"/>
    <col min="17" max="17" width="4.81640625" bestFit="1" customWidth="1"/>
    <col min="18" max="18" width="5.26953125" bestFit="1" customWidth="1"/>
    <col min="19" max="19" width="3.81640625" bestFit="1" customWidth="1"/>
    <col min="20" max="20" width="4.54296875" bestFit="1" customWidth="1"/>
    <col min="21" max="21" width="4" bestFit="1" customWidth="1"/>
  </cols>
  <sheetData>
    <row r="1" spans="1:23">
      <c r="A1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>
        <v>2003</v>
      </c>
      <c r="B2">
        <v>1</v>
      </c>
      <c r="C2">
        <v>1</v>
      </c>
      <c r="D2">
        <v>1</v>
      </c>
      <c r="E2" t="s">
        <v>768</v>
      </c>
      <c r="F2" t="s">
        <v>975</v>
      </c>
      <c r="G2" t="s">
        <v>2</v>
      </c>
      <c r="H2">
        <v>3.2</v>
      </c>
      <c r="I2">
        <v>1118</v>
      </c>
      <c r="J2">
        <v>4108</v>
      </c>
      <c r="K2">
        <v>109</v>
      </c>
      <c r="L2">
        <v>0.28299999999999997</v>
      </c>
      <c r="M2">
        <v>0.73699999999999999</v>
      </c>
      <c r="T2" t="s">
        <v>52</v>
      </c>
      <c r="U2">
        <f>IF(ISNUMBER(SEARCH("HS",T2)),1,0)</f>
        <v>1</v>
      </c>
      <c r="V2" t="str">
        <f>IF(ISNUMBER(H2),"MLB","")</f>
        <v>MLB</v>
      </c>
      <c r="W2" t="s">
        <v>1208</v>
      </c>
    </row>
    <row r="3" spans="1:23">
      <c r="A3">
        <v>2003</v>
      </c>
      <c r="B3">
        <v>1</v>
      </c>
      <c r="C3">
        <v>2</v>
      </c>
      <c r="D3">
        <v>2</v>
      </c>
      <c r="E3" t="s">
        <v>67</v>
      </c>
      <c r="F3" t="s">
        <v>976</v>
      </c>
      <c r="G3" t="s">
        <v>0</v>
      </c>
      <c r="H3">
        <v>11.6</v>
      </c>
      <c r="I3">
        <v>1324</v>
      </c>
      <c r="J3">
        <v>4417</v>
      </c>
      <c r="K3">
        <v>161</v>
      </c>
      <c r="L3">
        <v>0.246</v>
      </c>
      <c r="M3">
        <v>0.76400000000000001</v>
      </c>
      <c r="T3" t="s">
        <v>34</v>
      </c>
      <c r="U3">
        <f t="shared" ref="U3:U38" si="0">IF(ISNUMBER(SEARCH("HS",T3)),1,0)</f>
        <v>0</v>
      </c>
      <c r="V3" t="str">
        <f t="shared" ref="V3:V38" si="1">IF(ISNUMBER(H3),"MLB","")</f>
        <v>MLB</v>
      </c>
      <c r="W3" t="s">
        <v>1209</v>
      </c>
    </row>
    <row r="4" spans="1:23">
      <c r="A4">
        <v>2003</v>
      </c>
      <c r="B4">
        <v>1</v>
      </c>
      <c r="C4">
        <v>3</v>
      </c>
      <c r="D4">
        <v>3</v>
      </c>
      <c r="E4" t="s">
        <v>55</v>
      </c>
      <c r="F4" t="s">
        <v>977</v>
      </c>
      <c r="G4" t="s">
        <v>8</v>
      </c>
      <c r="T4" t="s">
        <v>34</v>
      </c>
      <c r="U4">
        <f t="shared" si="0"/>
        <v>0</v>
      </c>
      <c r="V4" t="s">
        <v>13</v>
      </c>
      <c r="W4">
        <v>-9999</v>
      </c>
    </row>
    <row r="5" spans="1:23">
      <c r="A5">
        <v>2003</v>
      </c>
      <c r="B5">
        <v>1</v>
      </c>
      <c r="C5">
        <v>4</v>
      </c>
      <c r="D5">
        <v>4</v>
      </c>
      <c r="E5" t="s">
        <v>83</v>
      </c>
      <c r="F5" t="s">
        <v>978</v>
      </c>
      <c r="G5" t="s">
        <v>8</v>
      </c>
      <c r="H5">
        <v>3.8</v>
      </c>
      <c r="N5">
        <v>201</v>
      </c>
      <c r="O5">
        <v>33</v>
      </c>
      <c r="P5">
        <v>34</v>
      </c>
      <c r="Q5">
        <v>3.97</v>
      </c>
      <c r="R5">
        <v>1.33</v>
      </c>
      <c r="S5">
        <v>0</v>
      </c>
      <c r="T5" t="s">
        <v>34</v>
      </c>
      <c r="U5">
        <f t="shared" si="0"/>
        <v>0</v>
      </c>
      <c r="V5" t="str">
        <f t="shared" si="1"/>
        <v>MLB</v>
      </c>
      <c r="W5" t="s">
        <v>1210</v>
      </c>
    </row>
    <row r="6" spans="1:23">
      <c r="A6">
        <v>2003</v>
      </c>
      <c r="B6">
        <v>1</v>
      </c>
      <c r="C6">
        <v>5</v>
      </c>
      <c r="D6">
        <v>5</v>
      </c>
      <c r="E6" t="s">
        <v>43</v>
      </c>
      <c r="F6" t="s">
        <v>979</v>
      </c>
      <c r="G6" t="s">
        <v>2</v>
      </c>
      <c r="T6" t="s">
        <v>52</v>
      </c>
      <c r="U6">
        <f t="shared" si="0"/>
        <v>1</v>
      </c>
      <c r="V6" t="s">
        <v>12</v>
      </c>
      <c r="W6">
        <v>-9999</v>
      </c>
    </row>
    <row r="7" spans="1:23">
      <c r="A7">
        <v>2003</v>
      </c>
      <c r="B7">
        <v>1</v>
      </c>
      <c r="C7">
        <v>6</v>
      </c>
      <c r="D7">
        <v>6</v>
      </c>
      <c r="E7" t="s">
        <v>61</v>
      </c>
      <c r="F7" t="s">
        <v>980</v>
      </c>
      <c r="G7" t="s">
        <v>2</v>
      </c>
      <c r="T7" t="s">
        <v>52</v>
      </c>
      <c r="U7">
        <f t="shared" si="0"/>
        <v>1</v>
      </c>
      <c r="V7" t="s">
        <v>13</v>
      </c>
      <c r="W7">
        <v>-9999</v>
      </c>
    </row>
    <row r="8" spans="1:23">
      <c r="A8">
        <v>2003</v>
      </c>
      <c r="B8">
        <v>1</v>
      </c>
      <c r="C8">
        <v>7</v>
      </c>
      <c r="D8">
        <v>7</v>
      </c>
      <c r="E8" t="s">
        <v>77</v>
      </c>
      <c r="F8" t="s">
        <v>981</v>
      </c>
      <c r="G8" t="s">
        <v>2</v>
      </c>
      <c r="H8">
        <v>33.700000000000003</v>
      </c>
      <c r="I8">
        <v>2154</v>
      </c>
      <c r="J8">
        <v>8302</v>
      </c>
      <c r="K8">
        <v>189</v>
      </c>
      <c r="L8">
        <v>0.28799999999999998</v>
      </c>
      <c r="M8">
        <v>0.78100000000000003</v>
      </c>
      <c r="T8" t="s">
        <v>163</v>
      </c>
      <c r="U8">
        <f t="shared" si="0"/>
        <v>0</v>
      </c>
      <c r="V8" t="str">
        <f t="shared" si="1"/>
        <v>MLB</v>
      </c>
      <c r="W8" t="s">
        <v>1211</v>
      </c>
    </row>
    <row r="9" spans="1:23">
      <c r="A9">
        <v>2003</v>
      </c>
      <c r="B9">
        <v>1</v>
      </c>
      <c r="C9">
        <v>8</v>
      </c>
      <c r="D9">
        <v>8</v>
      </c>
      <c r="E9" t="s">
        <v>50</v>
      </c>
      <c r="F9" t="s">
        <v>982</v>
      </c>
      <c r="G9" t="s">
        <v>9</v>
      </c>
      <c r="H9">
        <v>11.9</v>
      </c>
      <c r="N9">
        <v>273</v>
      </c>
      <c r="O9">
        <v>77</v>
      </c>
      <c r="P9">
        <v>100</v>
      </c>
      <c r="Q9">
        <v>4.3</v>
      </c>
      <c r="R9">
        <v>1.4</v>
      </c>
      <c r="S9">
        <v>0</v>
      </c>
      <c r="T9" t="s">
        <v>34</v>
      </c>
      <c r="U9">
        <f t="shared" si="0"/>
        <v>0</v>
      </c>
      <c r="V9" t="str">
        <f t="shared" si="1"/>
        <v>MLB</v>
      </c>
      <c r="W9" t="s">
        <v>1212</v>
      </c>
    </row>
    <row r="10" spans="1:23">
      <c r="A10">
        <v>2003</v>
      </c>
      <c r="B10">
        <v>1</v>
      </c>
      <c r="C10">
        <v>9</v>
      </c>
      <c r="D10">
        <v>9</v>
      </c>
      <c r="E10" t="s">
        <v>93</v>
      </c>
      <c r="F10" t="s">
        <v>983</v>
      </c>
      <c r="G10" t="s">
        <v>9</v>
      </c>
      <c r="H10">
        <v>20.2</v>
      </c>
      <c r="N10">
        <v>247</v>
      </c>
      <c r="O10">
        <v>79</v>
      </c>
      <c r="P10">
        <v>104</v>
      </c>
      <c r="Q10">
        <v>4.38</v>
      </c>
      <c r="R10">
        <v>1.35</v>
      </c>
      <c r="S10">
        <v>0</v>
      </c>
      <c r="T10" t="s">
        <v>52</v>
      </c>
      <c r="U10">
        <f t="shared" si="0"/>
        <v>1</v>
      </c>
      <c r="V10" t="str">
        <f t="shared" si="1"/>
        <v>MLB</v>
      </c>
      <c r="W10" t="s">
        <v>1213</v>
      </c>
    </row>
    <row r="11" spans="1:23">
      <c r="A11">
        <v>2003</v>
      </c>
      <c r="B11">
        <v>1</v>
      </c>
      <c r="C11">
        <v>10</v>
      </c>
      <c r="D11">
        <v>10</v>
      </c>
      <c r="E11" t="s">
        <v>37</v>
      </c>
      <c r="F11" t="s">
        <v>984</v>
      </c>
      <c r="G11" t="s">
        <v>11</v>
      </c>
      <c r="H11">
        <v>3.3</v>
      </c>
      <c r="I11">
        <v>511</v>
      </c>
      <c r="J11">
        <v>1489</v>
      </c>
      <c r="K11">
        <v>61</v>
      </c>
      <c r="L11">
        <v>0.22900000000000001</v>
      </c>
      <c r="M11">
        <v>0.73</v>
      </c>
      <c r="T11" t="s">
        <v>52</v>
      </c>
      <c r="U11">
        <f t="shared" si="0"/>
        <v>1</v>
      </c>
      <c r="V11" t="str">
        <f t="shared" si="1"/>
        <v>MLB</v>
      </c>
      <c r="W11" t="s">
        <v>1214</v>
      </c>
    </row>
    <row r="12" spans="1:23">
      <c r="A12">
        <v>2003</v>
      </c>
      <c r="B12">
        <v>1</v>
      </c>
      <c r="C12">
        <v>11</v>
      </c>
      <c r="D12">
        <v>11</v>
      </c>
      <c r="E12" t="s">
        <v>206</v>
      </c>
      <c r="F12" t="s">
        <v>985</v>
      </c>
      <c r="G12" t="s">
        <v>3</v>
      </c>
      <c r="H12">
        <v>0.2</v>
      </c>
      <c r="I12">
        <v>46</v>
      </c>
      <c r="J12">
        <v>135</v>
      </c>
      <c r="K12">
        <v>6</v>
      </c>
      <c r="L12">
        <v>0.25900000000000001</v>
      </c>
      <c r="M12">
        <v>0.755</v>
      </c>
      <c r="T12" t="s">
        <v>34</v>
      </c>
      <c r="U12">
        <f t="shared" si="0"/>
        <v>0</v>
      </c>
      <c r="V12" t="str">
        <f t="shared" si="1"/>
        <v>MLB</v>
      </c>
      <c r="W12" t="s">
        <v>1215</v>
      </c>
    </row>
    <row r="13" spans="1:23">
      <c r="A13">
        <v>2003</v>
      </c>
      <c r="B13">
        <v>1</v>
      </c>
      <c r="C13">
        <v>12</v>
      </c>
      <c r="D13">
        <v>12</v>
      </c>
      <c r="E13" t="s">
        <v>71</v>
      </c>
      <c r="F13" t="s">
        <v>986</v>
      </c>
      <c r="G13" t="s">
        <v>2</v>
      </c>
      <c r="H13">
        <v>0.5</v>
      </c>
      <c r="I13">
        <v>433</v>
      </c>
      <c r="J13">
        <v>1500</v>
      </c>
      <c r="K13">
        <v>33</v>
      </c>
      <c r="L13">
        <v>0.26900000000000002</v>
      </c>
      <c r="M13">
        <v>0.72299999999999998</v>
      </c>
      <c r="T13" t="s">
        <v>52</v>
      </c>
      <c r="U13">
        <f t="shared" si="0"/>
        <v>1</v>
      </c>
      <c r="V13" t="str">
        <f t="shared" si="1"/>
        <v>MLB</v>
      </c>
      <c r="W13" t="s">
        <v>1216</v>
      </c>
    </row>
    <row r="14" spans="1:23">
      <c r="A14">
        <v>2003</v>
      </c>
      <c r="B14">
        <v>1</v>
      </c>
      <c r="C14">
        <v>13</v>
      </c>
      <c r="D14">
        <v>13</v>
      </c>
      <c r="E14" t="s">
        <v>73</v>
      </c>
      <c r="F14" t="s">
        <v>987</v>
      </c>
      <c r="G14" t="s">
        <v>5</v>
      </c>
      <c r="H14">
        <v>24.4</v>
      </c>
      <c r="I14">
        <v>1559</v>
      </c>
      <c r="J14">
        <v>5646</v>
      </c>
      <c r="K14">
        <v>162</v>
      </c>
      <c r="L14">
        <v>0.26600000000000001</v>
      </c>
      <c r="M14">
        <v>0.74</v>
      </c>
      <c r="T14" t="s">
        <v>34</v>
      </c>
      <c r="U14">
        <f t="shared" si="0"/>
        <v>0</v>
      </c>
      <c r="V14" t="str">
        <f t="shared" si="1"/>
        <v>MLB</v>
      </c>
      <c r="W14" t="s">
        <v>1217</v>
      </c>
    </row>
    <row r="15" spans="1:23">
      <c r="A15">
        <v>2003</v>
      </c>
      <c r="B15">
        <v>1</v>
      </c>
      <c r="C15">
        <v>14</v>
      </c>
      <c r="D15">
        <v>14</v>
      </c>
      <c r="E15" t="s">
        <v>35</v>
      </c>
      <c r="F15" t="s">
        <v>988</v>
      </c>
      <c r="G15" t="s">
        <v>8</v>
      </c>
      <c r="H15">
        <v>-0.3</v>
      </c>
      <c r="N15">
        <v>148</v>
      </c>
      <c r="O15">
        <v>11</v>
      </c>
      <c r="P15">
        <v>9</v>
      </c>
      <c r="Q15">
        <v>4.79</v>
      </c>
      <c r="R15">
        <v>1.59</v>
      </c>
      <c r="S15">
        <v>0</v>
      </c>
      <c r="T15" t="s">
        <v>34</v>
      </c>
      <c r="U15">
        <f t="shared" si="0"/>
        <v>0</v>
      </c>
      <c r="V15" t="str">
        <f t="shared" si="1"/>
        <v>MLB</v>
      </c>
      <c r="W15" t="s">
        <v>1218</v>
      </c>
    </row>
    <row r="16" spans="1:23">
      <c r="A16">
        <v>2003</v>
      </c>
      <c r="B16">
        <v>1</v>
      </c>
      <c r="C16">
        <v>15</v>
      </c>
      <c r="D16">
        <v>15</v>
      </c>
      <c r="E16" t="s">
        <v>41</v>
      </c>
      <c r="F16" t="s">
        <v>989</v>
      </c>
      <c r="G16" t="s">
        <v>2</v>
      </c>
      <c r="H16">
        <v>-0.2</v>
      </c>
      <c r="I16">
        <v>355</v>
      </c>
      <c r="J16">
        <v>799</v>
      </c>
      <c r="K16">
        <v>22</v>
      </c>
      <c r="L16">
        <v>0.22700000000000001</v>
      </c>
      <c r="M16">
        <v>0.66</v>
      </c>
      <c r="T16" t="s">
        <v>34</v>
      </c>
      <c r="U16">
        <f t="shared" si="0"/>
        <v>0</v>
      </c>
      <c r="V16" t="str">
        <f t="shared" si="1"/>
        <v>MLB</v>
      </c>
      <c r="W16" t="s">
        <v>1219</v>
      </c>
    </row>
    <row r="17" spans="1:23">
      <c r="A17">
        <v>2003</v>
      </c>
      <c r="B17">
        <v>1</v>
      </c>
      <c r="C17">
        <v>16</v>
      </c>
      <c r="D17">
        <v>16</v>
      </c>
      <c r="E17" t="s">
        <v>65</v>
      </c>
      <c r="F17" t="s">
        <v>990</v>
      </c>
      <c r="G17" t="s">
        <v>8</v>
      </c>
      <c r="T17" t="s">
        <v>52</v>
      </c>
      <c r="U17">
        <f t="shared" si="0"/>
        <v>1</v>
      </c>
      <c r="V17" t="s">
        <v>13</v>
      </c>
      <c r="W17">
        <v>-9999</v>
      </c>
    </row>
    <row r="18" spans="1:23">
      <c r="A18">
        <v>2003</v>
      </c>
      <c r="B18">
        <v>1</v>
      </c>
      <c r="C18">
        <v>17</v>
      </c>
      <c r="D18">
        <v>17</v>
      </c>
      <c r="E18" t="s">
        <v>57</v>
      </c>
      <c r="F18" t="s">
        <v>991</v>
      </c>
      <c r="G18" t="s">
        <v>2</v>
      </c>
      <c r="H18">
        <v>9.9</v>
      </c>
      <c r="I18">
        <v>1110</v>
      </c>
      <c r="J18">
        <v>3467</v>
      </c>
      <c r="K18">
        <v>104</v>
      </c>
      <c r="L18">
        <v>0.27400000000000002</v>
      </c>
      <c r="M18">
        <v>0.76500000000000001</v>
      </c>
      <c r="T18" t="s">
        <v>34</v>
      </c>
      <c r="U18">
        <f t="shared" si="0"/>
        <v>0</v>
      </c>
      <c r="V18" t="str">
        <f t="shared" si="1"/>
        <v>MLB</v>
      </c>
      <c r="W18" t="s">
        <v>1220</v>
      </c>
    </row>
    <row r="19" spans="1:23">
      <c r="A19">
        <v>2003</v>
      </c>
      <c r="B19">
        <v>1</v>
      </c>
      <c r="C19">
        <v>18</v>
      </c>
      <c r="D19">
        <v>18</v>
      </c>
      <c r="E19" t="s">
        <v>992</v>
      </c>
      <c r="F19" t="s">
        <v>993</v>
      </c>
      <c r="G19" t="s">
        <v>2</v>
      </c>
      <c r="H19">
        <v>-0.1</v>
      </c>
      <c r="I19">
        <v>30</v>
      </c>
      <c r="J19">
        <v>66</v>
      </c>
      <c r="K19">
        <v>2</v>
      </c>
      <c r="L19">
        <v>0.16700000000000001</v>
      </c>
      <c r="M19">
        <v>0.51300000000000001</v>
      </c>
      <c r="T19" t="s">
        <v>34</v>
      </c>
      <c r="U19">
        <f t="shared" si="0"/>
        <v>0</v>
      </c>
      <c r="V19" t="str">
        <f t="shared" si="1"/>
        <v>MLB</v>
      </c>
      <c r="W19" t="s">
        <v>1221</v>
      </c>
    </row>
    <row r="20" spans="1:23">
      <c r="A20">
        <v>2003</v>
      </c>
      <c r="B20">
        <v>1</v>
      </c>
      <c r="C20">
        <v>19</v>
      </c>
      <c r="D20">
        <v>19</v>
      </c>
      <c r="E20" t="s">
        <v>994</v>
      </c>
      <c r="F20" t="s">
        <v>995</v>
      </c>
      <c r="G20" t="s">
        <v>3</v>
      </c>
      <c r="H20">
        <v>2.2000000000000002</v>
      </c>
      <c r="I20">
        <v>658</v>
      </c>
      <c r="J20">
        <v>2184</v>
      </c>
      <c r="K20">
        <v>52</v>
      </c>
      <c r="L20">
        <v>0.27100000000000002</v>
      </c>
      <c r="M20">
        <v>0.75700000000000001</v>
      </c>
      <c r="T20" t="s">
        <v>34</v>
      </c>
      <c r="U20">
        <f t="shared" si="0"/>
        <v>0</v>
      </c>
      <c r="V20" t="str">
        <f t="shared" si="1"/>
        <v>MLB</v>
      </c>
      <c r="W20" t="s">
        <v>1222</v>
      </c>
    </row>
    <row r="21" spans="1:23">
      <c r="A21">
        <v>2003</v>
      </c>
      <c r="B21">
        <v>1</v>
      </c>
      <c r="C21">
        <v>20</v>
      </c>
      <c r="D21">
        <v>20</v>
      </c>
      <c r="E21" t="s">
        <v>938</v>
      </c>
      <c r="F21" t="s">
        <v>996</v>
      </c>
      <c r="G21" t="s">
        <v>8</v>
      </c>
      <c r="H21">
        <v>7.3</v>
      </c>
      <c r="N21">
        <v>314</v>
      </c>
      <c r="O21">
        <v>20</v>
      </c>
      <c r="P21">
        <v>15</v>
      </c>
      <c r="Q21">
        <v>2.89</v>
      </c>
      <c r="R21">
        <v>1.21</v>
      </c>
      <c r="S21">
        <v>128</v>
      </c>
      <c r="T21" t="s">
        <v>34</v>
      </c>
      <c r="U21">
        <f t="shared" si="0"/>
        <v>0</v>
      </c>
      <c r="V21" t="str">
        <f t="shared" si="1"/>
        <v>MLB</v>
      </c>
      <c r="W21" t="s">
        <v>1223</v>
      </c>
    </row>
    <row r="22" spans="1:23">
      <c r="A22">
        <v>2003</v>
      </c>
      <c r="B22">
        <v>1</v>
      </c>
      <c r="C22">
        <v>21</v>
      </c>
      <c r="D22">
        <v>21</v>
      </c>
      <c r="E22" t="s">
        <v>75</v>
      </c>
      <c r="F22" t="s">
        <v>997</v>
      </c>
      <c r="G22" t="s">
        <v>11</v>
      </c>
      <c r="T22" t="s">
        <v>52</v>
      </c>
      <c r="U22">
        <f t="shared" si="0"/>
        <v>1</v>
      </c>
      <c r="V22" t="s">
        <v>12</v>
      </c>
      <c r="W22">
        <v>-9999</v>
      </c>
    </row>
    <row r="23" spans="1:23">
      <c r="A23">
        <v>2003</v>
      </c>
      <c r="B23">
        <v>1</v>
      </c>
      <c r="C23">
        <v>22</v>
      </c>
      <c r="D23">
        <v>22</v>
      </c>
      <c r="E23" t="s">
        <v>998</v>
      </c>
      <c r="F23" t="s">
        <v>999</v>
      </c>
      <c r="G23" t="s">
        <v>8</v>
      </c>
      <c r="H23">
        <v>1.8</v>
      </c>
      <c r="N23">
        <v>331</v>
      </c>
      <c r="O23">
        <v>16</v>
      </c>
      <c r="P23">
        <v>18</v>
      </c>
      <c r="Q23">
        <v>4.2699999999999996</v>
      </c>
      <c r="R23">
        <v>1.42</v>
      </c>
      <c r="S23">
        <v>69</v>
      </c>
      <c r="T23" t="s">
        <v>34</v>
      </c>
      <c r="U23">
        <f t="shared" si="0"/>
        <v>0</v>
      </c>
      <c r="V23" t="str">
        <f t="shared" si="1"/>
        <v>MLB</v>
      </c>
      <c r="W23" t="s">
        <v>1224</v>
      </c>
    </row>
    <row r="24" spans="1:23">
      <c r="A24">
        <v>2003</v>
      </c>
      <c r="B24">
        <v>1</v>
      </c>
      <c r="C24">
        <v>23</v>
      </c>
      <c r="D24">
        <v>23</v>
      </c>
      <c r="E24" t="s">
        <v>48</v>
      </c>
      <c r="F24" t="s">
        <v>1000</v>
      </c>
      <c r="G24" t="s">
        <v>5</v>
      </c>
      <c r="H24">
        <v>-3.8</v>
      </c>
      <c r="I24">
        <v>272</v>
      </c>
      <c r="J24">
        <v>700</v>
      </c>
      <c r="K24">
        <v>18</v>
      </c>
      <c r="L24">
        <v>0.186</v>
      </c>
      <c r="M24">
        <v>0.51300000000000001</v>
      </c>
      <c r="T24" t="s">
        <v>52</v>
      </c>
      <c r="U24">
        <f t="shared" si="0"/>
        <v>1</v>
      </c>
      <c r="V24" t="str">
        <f t="shared" si="1"/>
        <v>MLB</v>
      </c>
      <c r="W24" t="s">
        <v>1225</v>
      </c>
    </row>
    <row r="25" spans="1:23">
      <c r="A25">
        <v>2003</v>
      </c>
      <c r="B25">
        <v>1</v>
      </c>
      <c r="C25">
        <v>24</v>
      </c>
      <c r="D25">
        <v>24</v>
      </c>
      <c r="E25" t="s">
        <v>79</v>
      </c>
      <c r="F25" t="s">
        <v>1001</v>
      </c>
      <c r="G25" t="s">
        <v>8</v>
      </c>
      <c r="H25">
        <v>17.3</v>
      </c>
      <c r="N25">
        <v>226</v>
      </c>
      <c r="O25">
        <v>83</v>
      </c>
      <c r="P25">
        <v>64</v>
      </c>
      <c r="Q25">
        <v>3.72</v>
      </c>
      <c r="R25">
        <v>1.37</v>
      </c>
      <c r="S25">
        <v>0</v>
      </c>
      <c r="T25" t="s">
        <v>52</v>
      </c>
      <c r="U25">
        <f t="shared" si="0"/>
        <v>1</v>
      </c>
      <c r="V25" t="str">
        <f t="shared" si="1"/>
        <v>MLB</v>
      </c>
      <c r="W25" t="s">
        <v>1226</v>
      </c>
    </row>
    <row r="26" spans="1:23">
      <c r="A26">
        <v>2003</v>
      </c>
      <c r="B26">
        <v>1</v>
      </c>
      <c r="C26">
        <v>25</v>
      </c>
      <c r="D26">
        <v>25</v>
      </c>
      <c r="E26" t="s">
        <v>39</v>
      </c>
      <c r="F26" t="s">
        <v>1002</v>
      </c>
      <c r="G26" t="s">
        <v>8</v>
      </c>
      <c r="T26" t="s">
        <v>34</v>
      </c>
      <c r="U26">
        <f t="shared" si="0"/>
        <v>0</v>
      </c>
      <c r="V26" t="s">
        <v>14</v>
      </c>
      <c r="W26">
        <v>-9999</v>
      </c>
    </row>
    <row r="27" spans="1:23">
      <c r="A27">
        <v>2003</v>
      </c>
      <c r="B27">
        <v>1</v>
      </c>
      <c r="C27">
        <v>26</v>
      </c>
      <c r="D27">
        <v>26</v>
      </c>
      <c r="E27" t="s">
        <v>1003</v>
      </c>
      <c r="F27" t="s">
        <v>1004</v>
      </c>
      <c r="G27" t="s">
        <v>11</v>
      </c>
      <c r="T27" t="s">
        <v>34</v>
      </c>
      <c r="U27">
        <f t="shared" si="0"/>
        <v>0</v>
      </c>
      <c r="V27" t="s">
        <v>1113</v>
      </c>
      <c r="W27">
        <v>-9999</v>
      </c>
    </row>
    <row r="28" spans="1:23">
      <c r="A28">
        <v>2003</v>
      </c>
      <c r="B28">
        <v>1</v>
      </c>
      <c r="C28">
        <v>27</v>
      </c>
      <c r="D28">
        <v>27</v>
      </c>
      <c r="E28" t="s">
        <v>85</v>
      </c>
      <c r="F28" t="s">
        <v>1005</v>
      </c>
      <c r="G28" t="s">
        <v>11</v>
      </c>
      <c r="T28" t="s">
        <v>52</v>
      </c>
      <c r="U28">
        <f t="shared" si="0"/>
        <v>1</v>
      </c>
      <c r="V28" t="s">
        <v>12</v>
      </c>
      <c r="W28">
        <v>-9999</v>
      </c>
    </row>
    <row r="29" spans="1:23">
      <c r="A29">
        <v>2003</v>
      </c>
      <c r="B29">
        <v>1</v>
      </c>
      <c r="C29">
        <v>28</v>
      </c>
      <c r="D29">
        <v>28</v>
      </c>
      <c r="E29" t="s">
        <v>46</v>
      </c>
      <c r="F29" t="s">
        <v>1006</v>
      </c>
      <c r="G29" t="s">
        <v>6</v>
      </c>
      <c r="H29">
        <v>8.9</v>
      </c>
      <c r="I29">
        <v>551</v>
      </c>
      <c r="J29">
        <v>1744</v>
      </c>
      <c r="K29">
        <v>30</v>
      </c>
      <c r="L29">
        <v>0.247</v>
      </c>
      <c r="M29">
        <v>0.72099999999999997</v>
      </c>
      <c r="T29" t="s">
        <v>52</v>
      </c>
      <c r="U29">
        <f t="shared" si="0"/>
        <v>1</v>
      </c>
      <c r="V29" t="str">
        <f t="shared" si="1"/>
        <v>MLB</v>
      </c>
      <c r="W29" t="s">
        <v>1227</v>
      </c>
    </row>
    <row r="30" spans="1:23">
      <c r="A30">
        <v>2003</v>
      </c>
      <c r="B30">
        <v>1</v>
      </c>
      <c r="C30">
        <v>29</v>
      </c>
      <c r="D30">
        <v>29</v>
      </c>
      <c r="E30" t="s">
        <v>91</v>
      </c>
      <c r="F30" t="s">
        <v>1007</v>
      </c>
      <c r="G30" t="s">
        <v>2</v>
      </c>
      <c r="H30">
        <v>10.5</v>
      </c>
      <c r="I30">
        <v>834</v>
      </c>
      <c r="J30">
        <v>2790</v>
      </c>
      <c r="K30">
        <v>154</v>
      </c>
      <c r="L30">
        <v>0.252</v>
      </c>
      <c r="M30">
        <v>0.83099999999999996</v>
      </c>
      <c r="T30" t="s">
        <v>34</v>
      </c>
      <c r="U30">
        <f t="shared" si="0"/>
        <v>0</v>
      </c>
      <c r="V30" t="str">
        <f t="shared" si="1"/>
        <v>MLB</v>
      </c>
      <c r="W30" t="s">
        <v>1228</v>
      </c>
    </row>
    <row r="31" spans="1:23">
      <c r="A31">
        <v>2003</v>
      </c>
      <c r="B31">
        <v>1</v>
      </c>
      <c r="C31">
        <v>30</v>
      </c>
      <c r="D31">
        <v>30</v>
      </c>
      <c r="E31" t="s">
        <v>1008</v>
      </c>
      <c r="F31" t="s">
        <v>1009</v>
      </c>
      <c r="G31" t="s">
        <v>6</v>
      </c>
      <c r="H31">
        <v>1.5</v>
      </c>
      <c r="I31">
        <v>359</v>
      </c>
      <c r="J31">
        <v>977</v>
      </c>
      <c r="K31">
        <v>10</v>
      </c>
      <c r="L31">
        <v>0.248</v>
      </c>
      <c r="M31">
        <v>0.67100000000000004</v>
      </c>
      <c r="T31" t="s">
        <v>34</v>
      </c>
      <c r="U31">
        <f t="shared" si="0"/>
        <v>0</v>
      </c>
      <c r="V31" t="str">
        <f t="shared" si="1"/>
        <v>MLB</v>
      </c>
      <c r="W31" t="s">
        <v>1229</v>
      </c>
    </row>
    <row r="32" spans="1:23">
      <c r="A32">
        <v>2003</v>
      </c>
      <c r="B32" t="s">
        <v>537</v>
      </c>
      <c r="C32">
        <v>31</v>
      </c>
      <c r="D32">
        <v>31</v>
      </c>
      <c r="E32" t="s">
        <v>206</v>
      </c>
      <c r="F32" t="s">
        <v>1010</v>
      </c>
      <c r="G32" t="s">
        <v>8</v>
      </c>
      <c r="T32" t="s">
        <v>52</v>
      </c>
      <c r="U32">
        <f t="shared" si="0"/>
        <v>1</v>
      </c>
      <c r="V32" t="s">
        <v>12</v>
      </c>
      <c r="W32">
        <v>-9999</v>
      </c>
    </row>
    <row r="33" spans="1:23">
      <c r="A33">
        <v>2003</v>
      </c>
      <c r="B33" t="s">
        <v>537</v>
      </c>
      <c r="C33">
        <v>32</v>
      </c>
      <c r="D33">
        <v>32</v>
      </c>
      <c r="E33" t="s">
        <v>57</v>
      </c>
      <c r="F33" t="s">
        <v>1011</v>
      </c>
      <c r="G33" t="s">
        <v>2</v>
      </c>
      <c r="H33">
        <v>3.3</v>
      </c>
      <c r="I33">
        <v>346</v>
      </c>
      <c r="J33">
        <v>952</v>
      </c>
      <c r="K33">
        <v>29</v>
      </c>
      <c r="L33">
        <v>0.28599999999999998</v>
      </c>
      <c r="M33">
        <v>0.78800000000000003</v>
      </c>
      <c r="T33" t="s">
        <v>34</v>
      </c>
      <c r="U33">
        <f t="shared" si="0"/>
        <v>0</v>
      </c>
      <c r="V33" t="str">
        <f t="shared" si="1"/>
        <v>MLB</v>
      </c>
      <c r="W33" t="s">
        <v>1230</v>
      </c>
    </row>
    <row r="34" spans="1:23">
      <c r="A34">
        <v>2003</v>
      </c>
      <c r="B34" t="s">
        <v>537</v>
      </c>
      <c r="C34">
        <v>33</v>
      </c>
      <c r="D34">
        <v>33</v>
      </c>
      <c r="E34" t="s">
        <v>39</v>
      </c>
      <c r="F34" t="s">
        <v>1012</v>
      </c>
      <c r="G34" t="s">
        <v>5</v>
      </c>
      <c r="H34">
        <v>-0.9</v>
      </c>
      <c r="I34">
        <v>402</v>
      </c>
      <c r="J34">
        <v>1035</v>
      </c>
      <c r="K34">
        <v>8</v>
      </c>
      <c r="L34">
        <v>0.22</v>
      </c>
      <c r="M34">
        <v>0.58199999999999996</v>
      </c>
      <c r="T34" t="s">
        <v>34</v>
      </c>
      <c r="U34">
        <f t="shared" si="0"/>
        <v>0</v>
      </c>
      <c r="V34" t="str">
        <f t="shared" si="1"/>
        <v>MLB</v>
      </c>
      <c r="W34" t="s">
        <v>1231</v>
      </c>
    </row>
    <row r="35" spans="1:23">
      <c r="A35">
        <v>2003</v>
      </c>
      <c r="B35" t="s">
        <v>537</v>
      </c>
      <c r="C35">
        <v>34</v>
      </c>
      <c r="D35">
        <v>34</v>
      </c>
      <c r="E35" t="s">
        <v>59</v>
      </c>
      <c r="F35" t="s">
        <v>1013</v>
      </c>
      <c r="G35" t="s">
        <v>8</v>
      </c>
      <c r="T35" t="s">
        <v>52</v>
      </c>
      <c r="U35">
        <f t="shared" si="0"/>
        <v>1</v>
      </c>
      <c r="V35" t="s">
        <v>12</v>
      </c>
      <c r="W35">
        <v>-9999</v>
      </c>
    </row>
    <row r="36" spans="1:23">
      <c r="A36">
        <v>2003</v>
      </c>
      <c r="B36" t="s">
        <v>537</v>
      </c>
      <c r="C36">
        <v>35</v>
      </c>
      <c r="D36">
        <v>35</v>
      </c>
      <c r="E36" t="s">
        <v>81</v>
      </c>
      <c r="F36" t="s">
        <v>1014</v>
      </c>
      <c r="G36" t="s">
        <v>8</v>
      </c>
      <c r="H36">
        <v>-0.9</v>
      </c>
      <c r="N36">
        <v>16</v>
      </c>
      <c r="O36">
        <v>6</v>
      </c>
      <c r="P36">
        <v>7</v>
      </c>
      <c r="Q36">
        <v>5.15</v>
      </c>
      <c r="R36">
        <v>1.49</v>
      </c>
      <c r="S36">
        <v>0</v>
      </c>
      <c r="T36" t="s">
        <v>52</v>
      </c>
      <c r="U36">
        <f t="shared" si="0"/>
        <v>1</v>
      </c>
      <c r="V36" t="str">
        <f t="shared" si="1"/>
        <v>MLB</v>
      </c>
      <c r="W36" t="s">
        <v>1232</v>
      </c>
    </row>
    <row r="37" spans="1:23">
      <c r="A37">
        <v>2003</v>
      </c>
      <c r="B37" t="s">
        <v>537</v>
      </c>
      <c r="C37">
        <v>36</v>
      </c>
      <c r="D37">
        <v>36</v>
      </c>
      <c r="E37" t="s">
        <v>81</v>
      </c>
      <c r="F37" t="s">
        <v>1015</v>
      </c>
      <c r="G37" t="s">
        <v>6</v>
      </c>
      <c r="H37">
        <v>5.9</v>
      </c>
      <c r="I37">
        <v>895</v>
      </c>
      <c r="J37">
        <v>2852</v>
      </c>
      <c r="K37">
        <v>110</v>
      </c>
      <c r="L37">
        <v>0.23200000000000001</v>
      </c>
      <c r="M37">
        <v>0.71499999999999997</v>
      </c>
      <c r="T37" t="s">
        <v>52</v>
      </c>
      <c r="U37">
        <f t="shared" si="0"/>
        <v>1</v>
      </c>
      <c r="V37" t="str">
        <f t="shared" si="1"/>
        <v>MLB</v>
      </c>
      <c r="W37" t="s">
        <v>1233</v>
      </c>
    </row>
    <row r="38" spans="1:23">
      <c r="A38">
        <v>2003</v>
      </c>
      <c r="B38" t="s">
        <v>537</v>
      </c>
      <c r="C38">
        <v>37</v>
      </c>
      <c r="D38">
        <v>37</v>
      </c>
      <c r="E38" t="s">
        <v>63</v>
      </c>
      <c r="F38" t="s">
        <v>1016</v>
      </c>
      <c r="G38" t="s">
        <v>5</v>
      </c>
      <c r="H38">
        <v>32.5</v>
      </c>
      <c r="I38">
        <v>1823</v>
      </c>
      <c r="J38">
        <v>7009</v>
      </c>
      <c r="K38">
        <v>282</v>
      </c>
      <c r="L38">
        <v>0.27700000000000002</v>
      </c>
      <c r="M38">
        <v>0.77100000000000002</v>
      </c>
      <c r="T38" t="s">
        <v>52</v>
      </c>
      <c r="U38">
        <f t="shared" si="0"/>
        <v>1</v>
      </c>
      <c r="V38" t="str">
        <f t="shared" si="1"/>
        <v>MLB</v>
      </c>
      <c r="W38" t="s">
        <v>1234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0A06D-A26F-4FAD-B4FA-3ECB03179F92}">
  <dimension ref="A1:W42"/>
  <sheetViews>
    <sheetView workbookViewId="0">
      <selection activeCell="V4" sqref="V4"/>
    </sheetView>
  </sheetViews>
  <sheetFormatPr defaultRowHeight="14.5"/>
  <cols>
    <col min="1" max="1" width="4.81640625" bestFit="1" customWidth="1"/>
    <col min="2" max="2" width="3.90625" bestFit="1" customWidth="1"/>
    <col min="3" max="3" width="6" bestFit="1" customWidth="1"/>
    <col min="4" max="4" width="5.90625" bestFit="1" customWidth="1"/>
    <col min="5" max="5" width="17.54296875" bestFit="1" customWidth="1"/>
    <col min="6" max="6" width="22.26953125" bestFit="1" customWidth="1"/>
    <col min="7" max="7" width="4.26953125" bestFit="1" customWidth="1"/>
    <col min="8" max="10" width="4.81640625" bestFit="1" customWidth="1"/>
    <col min="11" max="11" width="3.81640625" bestFit="1" customWidth="1"/>
    <col min="12" max="13" width="5.81640625" bestFit="1" customWidth="1"/>
    <col min="14" max="16" width="3.81640625" bestFit="1" customWidth="1"/>
    <col min="17" max="17" width="4.81640625" bestFit="1" customWidth="1"/>
    <col min="18" max="18" width="5.26953125" bestFit="1" customWidth="1"/>
    <col min="19" max="19" width="3.81640625" bestFit="1" customWidth="1"/>
    <col min="20" max="20" width="4.54296875" bestFit="1" customWidth="1"/>
    <col min="21" max="21" width="4" bestFit="1" customWidth="1"/>
    <col min="22" max="22" width="9" bestFit="1" customWidth="1"/>
    <col min="23" max="23" width="10.36328125" bestFit="1" customWidth="1"/>
  </cols>
  <sheetData>
    <row r="1" spans="1:23">
      <c r="A1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>
        <v>2004</v>
      </c>
      <c r="B2">
        <v>1</v>
      </c>
      <c r="C2">
        <v>1</v>
      </c>
      <c r="D2">
        <v>1</v>
      </c>
      <c r="E2" t="s">
        <v>83</v>
      </c>
      <c r="F2" t="s">
        <v>927</v>
      </c>
      <c r="G2" t="s">
        <v>5</v>
      </c>
      <c r="H2">
        <v>1.8</v>
      </c>
      <c r="N2">
        <v>217</v>
      </c>
      <c r="O2">
        <v>12</v>
      </c>
      <c r="P2">
        <v>11</v>
      </c>
      <c r="Q2">
        <v>3.75</v>
      </c>
      <c r="R2">
        <v>1.2</v>
      </c>
      <c r="S2">
        <v>15</v>
      </c>
      <c r="T2" t="s">
        <v>52</v>
      </c>
      <c r="U2">
        <f>IF(ISNUMBER(SEARCH("HS",T2)),1,0)</f>
        <v>1</v>
      </c>
      <c r="V2" t="str">
        <f>IF(ISNUMBER(H2),"MLB","")</f>
        <v>MLB</v>
      </c>
      <c r="W2" t="s">
        <v>1235</v>
      </c>
    </row>
    <row r="3" spans="1:23">
      <c r="A3">
        <v>2004</v>
      </c>
      <c r="B3">
        <v>1</v>
      </c>
      <c r="C3">
        <v>2</v>
      </c>
      <c r="D3">
        <v>2</v>
      </c>
      <c r="E3" t="s">
        <v>55</v>
      </c>
      <c r="F3" t="s">
        <v>928</v>
      </c>
      <c r="G3" t="s">
        <v>8</v>
      </c>
      <c r="H3">
        <v>81.7</v>
      </c>
      <c r="N3">
        <v>556</v>
      </c>
      <c r="O3">
        <v>266</v>
      </c>
      <c r="P3">
        <v>159</v>
      </c>
      <c r="Q3">
        <v>3.33</v>
      </c>
      <c r="R3">
        <v>1.1399999999999999</v>
      </c>
      <c r="S3">
        <v>0</v>
      </c>
      <c r="T3" t="s">
        <v>34</v>
      </c>
      <c r="U3">
        <f t="shared" ref="U3:U42" si="0">IF(ISNUMBER(SEARCH("HS",T3)),1,0)</f>
        <v>0</v>
      </c>
      <c r="V3" t="str">
        <f t="shared" ref="V3:V42" si="1">IF(ISNUMBER(H3),"MLB","")</f>
        <v>MLB</v>
      </c>
      <c r="W3" t="s">
        <v>1236</v>
      </c>
    </row>
    <row r="4" spans="1:23">
      <c r="A4">
        <v>2004</v>
      </c>
      <c r="B4">
        <v>1</v>
      </c>
      <c r="C4">
        <v>3</v>
      </c>
      <c r="D4">
        <v>3</v>
      </c>
      <c r="E4" t="s">
        <v>71</v>
      </c>
      <c r="F4" t="s">
        <v>929</v>
      </c>
      <c r="G4" t="s">
        <v>8</v>
      </c>
      <c r="H4">
        <v>0.9</v>
      </c>
      <c r="N4">
        <v>97</v>
      </c>
      <c r="O4">
        <v>16</v>
      </c>
      <c r="P4">
        <v>23</v>
      </c>
      <c r="Q4">
        <v>5.31</v>
      </c>
      <c r="R4">
        <v>1.42</v>
      </c>
      <c r="S4">
        <v>0</v>
      </c>
      <c r="T4" t="s">
        <v>34</v>
      </c>
      <c r="U4">
        <f t="shared" si="0"/>
        <v>0</v>
      </c>
      <c r="V4" t="str">
        <f t="shared" si="1"/>
        <v>MLB</v>
      </c>
      <c r="W4" t="s">
        <v>1237</v>
      </c>
    </row>
    <row r="5" spans="1:23">
      <c r="A5">
        <v>2004</v>
      </c>
      <c r="B5">
        <v>1</v>
      </c>
      <c r="C5">
        <v>4</v>
      </c>
      <c r="D5">
        <v>4</v>
      </c>
      <c r="E5" t="s">
        <v>768</v>
      </c>
      <c r="F5" t="s">
        <v>930</v>
      </c>
      <c r="G5" t="s">
        <v>8</v>
      </c>
      <c r="H5">
        <v>4.3</v>
      </c>
      <c r="N5">
        <v>97</v>
      </c>
      <c r="O5">
        <v>40</v>
      </c>
      <c r="P5">
        <v>26</v>
      </c>
      <c r="Q5">
        <v>4.08</v>
      </c>
      <c r="R5">
        <v>1.29</v>
      </c>
      <c r="S5">
        <v>0</v>
      </c>
      <c r="T5" t="s">
        <v>34</v>
      </c>
      <c r="U5">
        <f t="shared" si="0"/>
        <v>0</v>
      </c>
      <c r="V5" t="str">
        <f t="shared" si="1"/>
        <v>MLB</v>
      </c>
      <c r="W5" t="s">
        <v>1238</v>
      </c>
    </row>
    <row r="6" spans="1:23">
      <c r="A6">
        <v>2004</v>
      </c>
      <c r="B6">
        <v>1</v>
      </c>
      <c r="C6">
        <v>5</v>
      </c>
      <c r="D6">
        <v>5</v>
      </c>
      <c r="E6" t="s">
        <v>67</v>
      </c>
      <c r="F6" t="s">
        <v>931</v>
      </c>
      <c r="G6" t="s">
        <v>8</v>
      </c>
      <c r="H6">
        <v>1.1000000000000001</v>
      </c>
      <c r="N6">
        <v>11</v>
      </c>
      <c r="O6">
        <v>3</v>
      </c>
      <c r="P6">
        <v>1</v>
      </c>
      <c r="Q6">
        <v>3.49</v>
      </c>
      <c r="R6">
        <v>1.1200000000000001</v>
      </c>
      <c r="S6">
        <v>0</v>
      </c>
      <c r="T6" t="s">
        <v>52</v>
      </c>
      <c r="U6">
        <f t="shared" si="0"/>
        <v>1</v>
      </c>
      <c r="V6" t="str">
        <f t="shared" si="1"/>
        <v>MLB</v>
      </c>
      <c r="W6" t="s">
        <v>1239</v>
      </c>
    </row>
    <row r="7" spans="1:23">
      <c r="A7">
        <v>2004</v>
      </c>
      <c r="B7">
        <v>1</v>
      </c>
      <c r="C7">
        <v>6</v>
      </c>
      <c r="D7">
        <v>6</v>
      </c>
      <c r="E7" t="s">
        <v>206</v>
      </c>
      <c r="F7" t="s">
        <v>932</v>
      </c>
      <c r="G7" t="s">
        <v>9</v>
      </c>
      <c r="H7">
        <v>1.6</v>
      </c>
      <c r="N7">
        <v>72</v>
      </c>
      <c r="O7">
        <v>18</v>
      </c>
      <c r="P7">
        <v>30</v>
      </c>
      <c r="Q7">
        <v>5.18</v>
      </c>
      <c r="R7">
        <v>1.44</v>
      </c>
      <c r="S7">
        <v>0</v>
      </c>
      <c r="T7" t="s">
        <v>34</v>
      </c>
      <c r="U7">
        <f t="shared" si="0"/>
        <v>0</v>
      </c>
      <c r="V7" t="str">
        <f t="shared" si="1"/>
        <v>MLB</v>
      </c>
      <c r="W7" t="s">
        <v>1193</v>
      </c>
    </row>
    <row r="8" spans="1:23">
      <c r="A8">
        <v>2004</v>
      </c>
      <c r="B8">
        <v>1</v>
      </c>
      <c r="C8">
        <v>7</v>
      </c>
      <c r="D8">
        <v>7</v>
      </c>
      <c r="E8" t="s">
        <v>35</v>
      </c>
      <c r="F8" t="s">
        <v>933</v>
      </c>
      <c r="G8" t="s">
        <v>8</v>
      </c>
      <c r="H8">
        <v>6.2</v>
      </c>
      <c r="N8">
        <v>245</v>
      </c>
      <c r="O8">
        <v>81</v>
      </c>
      <c r="P8">
        <v>86</v>
      </c>
      <c r="Q8">
        <v>4.5599999999999996</v>
      </c>
      <c r="R8">
        <v>1.37</v>
      </c>
      <c r="S8">
        <v>0</v>
      </c>
      <c r="T8" t="s">
        <v>52</v>
      </c>
      <c r="U8">
        <f t="shared" si="0"/>
        <v>1</v>
      </c>
      <c r="V8" t="str">
        <f t="shared" si="1"/>
        <v>MLB</v>
      </c>
      <c r="W8" t="s">
        <v>1240</v>
      </c>
    </row>
    <row r="9" spans="1:23">
      <c r="A9">
        <v>2004</v>
      </c>
      <c r="B9">
        <v>1</v>
      </c>
      <c r="C9">
        <v>8</v>
      </c>
      <c r="D9">
        <v>8</v>
      </c>
      <c r="E9" t="s">
        <v>77</v>
      </c>
      <c r="F9" t="s">
        <v>881</v>
      </c>
      <c r="G9" t="s">
        <v>8</v>
      </c>
      <c r="T9" t="s">
        <v>34</v>
      </c>
      <c r="U9">
        <f t="shared" si="0"/>
        <v>0</v>
      </c>
      <c r="V9" t="s">
        <v>13</v>
      </c>
      <c r="W9">
        <v>-9999</v>
      </c>
    </row>
    <row r="10" spans="1:23">
      <c r="A10">
        <v>2004</v>
      </c>
      <c r="B10">
        <v>1</v>
      </c>
      <c r="C10">
        <v>9</v>
      </c>
      <c r="D10">
        <v>9</v>
      </c>
      <c r="E10" t="s">
        <v>37</v>
      </c>
      <c r="F10" t="s">
        <v>934</v>
      </c>
      <c r="G10" t="s">
        <v>5</v>
      </c>
      <c r="H10">
        <v>-2.6</v>
      </c>
      <c r="I10">
        <v>282</v>
      </c>
      <c r="J10">
        <v>834</v>
      </c>
      <c r="K10">
        <v>16</v>
      </c>
      <c r="L10">
        <v>0.26500000000000001</v>
      </c>
      <c r="M10">
        <v>0.69899999999999995</v>
      </c>
      <c r="T10" t="s">
        <v>52</v>
      </c>
      <c r="U10">
        <f t="shared" si="0"/>
        <v>1</v>
      </c>
      <c r="V10" t="str">
        <f t="shared" si="1"/>
        <v>MLB</v>
      </c>
      <c r="W10" t="s">
        <v>1241</v>
      </c>
    </row>
    <row r="11" spans="1:23">
      <c r="A11">
        <v>2004</v>
      </c>
      <c r="B11">
        <v>1</v>
      </c>
      <c r="C11">
        <v>10</v>
      </c>
      <c r="D11">
        <v>10</v>
      </c>
      <c r="E11" t="s">
        <v>93</v>
      </c>
      <c r="F11" t="s">
        <v>935</v>
      </c>
      <c r="G11" t="s">
        <v>8</v>
      </c>
      <c r="H11">
        <v>-0.5</v>
      </c>
      <c r="N11">
        <v>16</v>
      </c>
      <c r="O11">
        <v>1</v>
      </c>
      <c r="P11">
        <v>3</v>
      </c>
      <c r="Q11">
        <v>6.83</v>
      </c>
      <c r="R11">
        <v>1.76</v>
      </c>
      <c r="S11">
        <v>0</v>
      </c>
      <c r="T11" t="s">
        <v>34</v>
      </c>
      <c r="U11">
        <f t="shared" si="0"/>
        <v>0</v>
      </c>
      <c r="V11" t="str">
        <f t="shared" si="1"/>
        <v>MLB</v>
      </c>
      <c r="W11" t="s">
        <v>1242</v>
      </c>
    </row>
    <row r="12" spans="1:23">
      <c r="A12">
        <v>2004</v>
      </c>
      <c r="B12">
        <v>1</v>
      </c>
      <c r="C12">
        <v>11</v>
      </c>
      <c r="D12">
        <v>11</v>
      </c>
      <c r="E12" t="s">
        <v>50</v>
      </c>
      <c r="F12" t="s">
        <v>936</v>
      </c>
      <c r="G12" t="s">
        <v>6</v>
      </c>
      <c r="H12">
        <v>20</v>
      </c>
      <c r="I12">
        <v>1306</v>
      </c>
      <c r="J12">
        <v>4583</v>
      </c>
      <c r="K12">
        <v>149</v>
      </c>
      <c r="L12">
        <v>0.26700000000000002</v>
      </c>
      <c r="M12">
        <v>0.76400000000000001</v>
      </c>
      <c r="T12" t="s">
        <v>52</v>
      </c>
      <c r="U12">
        <f t="shared" si="0"/>
        <v>1</v>
      </c>
      <c r="V12" t="str">
        <f t="shared" si="1"/>
        <v>MLB</v>
      </c>
      <c r="W12" t="s">
        <v>1243</v>
      </c>
    </row>
    <row r="13" spans="1:23">
      <c r="A13">
        <v>2004</v>
      </c>
      <c r="B13">
        <v>1</v>
      </c>
      <c r="C13">
        <v>12</v>
      </c>
      <c r="D13">
        <v>12</v>
      </c>
      <c r="E13" t="s">
        <v>48</v>
      </c>
      <c r="F13" t="s">
        <v>937</v>
      </c>
      <c r="G13" t="s">
        <v>8</v>
      </c>
      <c r="H13">
        <v>34.6</v>
      </c>
      <c r="N13">
        <v>331</v>
      </c>
      <c r="O13">
        <v>150</v>
      </c>
      <c r="P13">
        <v>98</v>
      </c>
      <c r="Q13">
        <v>3.63</v>
      </c>
      <c r="R13">
        <v>1.19</v>
      </c>
      <c r="S13">
        <v>0</v>
      </c>
      <c r="T13" t="s">
        <v>34</v>
      </c>
      <c r="U13">
        <f t="shared" si="0"/>
        <v>0</v>
      </c>
      <c r="V13" t="str">
        <f t="shared" si="1"/>
        <v>MLB</v>
      </c>
      <c r="W13" t="s">
        <v>1244</v>
      </c>
    </row>
    <row r="14" spans="1:23">
      <c r="A14">
        <v>2004</v>
      </c>
      <c r="B14">
        <v>1</v>
      </c>
      <c r="C14">
        <v>13</v>
      </c>
      <c r="D14">
        <v>13</v>
      </c>
      <c r="E14" t="s">
        <v>938</v>
      </c>
      <c r="F14" t="s">
        <v>939</v>
      </c>
      <c r="G14" t="s">
        <v>9</v>
      </c>
      <c r="H14">
        <v>2.2999999999999998</v>
      </c>
      <c r="N14">
        <v>258</v>
      </c>
      <c r="O14">
        <v>13</v>
      </c>
      <c r="P14">
        <v>12</v>
      </c>
      <c r="Q14">
        <v>3.74</v>
      </c>
      <c r="R14">
        <v>1.38</v>
      </c>
      <c r="S14">
        <v>3</v>
      </c>
      <c r="T14" t="s">
        <v>34</v>
      </c>
      <c r="U14">
        <f t="shared" si="0"/>
        <v>0</v>
      </c>
      <c r="V14" t="str">
        <f t="shared" si="1"/>
        <v>MLB</v>
      </c>
      <c r="W14" t="s">
        <v>1245</v>
      </c>
    </row>
    <row r="15" spans="1:23">
      <c r="A15">
        <v>2004</v>
      </c>
      <c r="B15">
        <v>1</v>
      </c>
      <c r="C15">
        <v>14</v>
      </c>
      <c r="D15">
        <v>14</v>
      </c>
      <c r="E15" t="s">
        <v>43</v>
      </c>
      <c r="F15" t="s">
        <v>940</v>
      </c>
      <c r="G15" t="s">
        <v>11</v>
      </c>
      <c r="H15">
        <v>11.8</v>
      </c>
      <c r="I15">
        <v>1414</v>
      </c>
      <c r="J15">
        <v>5105</v>
      </c>
      <c r="K15">
        <v>147</v>
      </c>
      <c r="L15">
        <v>0.28999999999999998</v>
      </c>
      <c r="M15">
        <v>0.79500000000000004</v>
      </c>
      <c r="T15" t="s">
        <v>52</v>
      </c>
      <c r="U15">
        <f t="shared" si="0"/>
        <v>1</v>
      </c>
      <c r="V15" t="str">
        <f t="shared" si="1"/>
        <v>MLB</v>
      </c>
      <c r="W15" t="s">
        <v>1246</v>
      </c>
    </row>
    <row r="16" spans="1:23">
      <c r="A16">
        <v>2004</v>
      </c>
      <c r="B16">
        <v>1</v>
      </c>
      <c r="C16">
        <v>15</v>
      </c>
      <c r="D16">
        <v>15</v>
      </c>
      <c r="E16" t="s">
        <v>91</v>
      </c>
      <c r="F16" t="s">
        <v>941</v>
      </c>
      <c r="G16" t="s">
        <v>5</v>
      </c>
      <c r="H16">
        <v>15.8</v>
      </c>
      <c r="I16">
        <v>1268</v>
      </c>
      <c r="J16">
        <v>4403</v>
      </c>
      <c r="K16">
        <v>123</v>
      </c>
      <c r="L16">
        <v>0.252</v>
      </c>
      <c r="M16">
        <v>0.74099999999999999</v>
      </c>
      <c r="T16" t="s">
        <v>34</v>
      </c>
      <c r="U16">
        <f t="shared" si="0"/>
        <v>0</v>
      </c>
      <c r="V16" t="str">
        <f t="shared" si="1"/>
        <v>MLB</v>
      </c>
      <c r="W16" t="s">
        <v>1247</v>
      </c>
    </row>
    <row r="17" spans="1:23">
      <c r="A17">
        <v>2004</v>
      </c>
      <c r="B17">
        <v>1</v>
      </c>
      <c r="C17">
        <v>16</v>
      </c>
      <c r="D17">
        <v>16</v>
      </c>
      <c r="E17" t="s">
        <v>73</v>
      </c>
      <c r="F17" t="s">
        <v>942</v>
      </c>
      <c r="G17" t="s">
        <v>9</v>
      </c>
      <c r="H17">
        <v>0.1</v>
      </c>
      <c r="N17">
        <v>111</v>
      </c>
      <c r="O17">
        <v>7</v>
      </c>
      <c r="P17">
        <v>13</v>
      </c>
      <c r="Q17">
        <v>4.9800000000000004</v>
      </c>
      <c r="R17">
        <v>1.54</v>
      </c>
      <c r="S17">
        <v>1</v>
      </c>
      <c r="T17" t="s">
        <v>34</v>
      </c>
      <c r="U17">
        <f t="shared" si="0"/>
        <v>0</v>
      </c>
      <c r="V17" t="str">
        <f t="shared" si="1"/>
        <v>MLB</v>
      </c>
      <c r="W17" t="s">
        <v>1248</v>
      </c>
    </row>
    <row r="18" spans="1:23">
      <c r="A18">
        <v>2004</v>
      </c>
      <c r="B18">
        <v>1</v>
      </c>
      <c r="C18">
        <v>17</v>
      </c>
      <c r="D18">
        <v>17</v>
      </c>
      <c r="E18" t="s">
        <v>79</v>
      </c>
      <c r="F18" t="s">
        <v>943</v>
      </c>
      <c r="G18" t="s">
        <v>9</v>
      </c>
      <c r="H18">
        <v>1.5</v>
      </c>
      <c r="N18">
        <v>127</v>
      </c>
      <c r="O18">
        <v>4</v>
      </c>
      <c r="P18">
        <v>3</v>
      </c>
      <c r="Q18">
        <v>3.54</v>
      </c>
      <c r="R18">
        <v>1.33</v>
      </c>
      <c r="S18">
        <v>2</v>
      </c>
      <c r="T18" t="s">
        <v>52</v>
      </c>
      <c r="U18">
        <f t="shared" si="0"/>
        <v>1</v>
      </c>
      <c r="V18" t="str">
        <f t="shared" si="1"/>
        <v>MLB</v>
      </c>
      <c r="W18" t="s">
        <v>1249</v>
      </c>
    </row>
    <row r="19" spans="1:23">
      <c r="A19">
        <v>2004</v>
      </c>
      <c r="B19">
        <v>1</v>
      </c>
      <c r="C19">
        <v>18</v>
      </c>
      <c r="D19">
        <v>18</v>
      </c>
      <c r="E19" t="s">
        <v>41</v>
      </c>
      <c r="F19" t="s">
        <v>741</v>
      </c>
      <c r="G19" t="s">
        <v>11</v>
      </c>
      <c r="H19">
        <v>-1.1000000000000001</v>
      </c>
      <c r="I19">
        <v>217</v>
      </c>
      <c r="J19">
        <v>713</v>
      </c>
      <c r="K19">
        <v>34</v>
      </c>
      <c r="L19">
        <v>0.23400000000000001</v>
      </c>
      <c r="M19">
        <v>0.72399999999999998</v>
      </c>
      <c r="T19" t="s">
        <v>34</v>
      </c>
      <c r="U19">
        <f t="shared" si="0"/>
        <v>0</v>
      </c>
      <c r="V19" t="str">
        <f t="shared" si="1"/>
        <v>MLB</v>
      </c>
      <c r="W19" t="s">
        <v>1250</v>
      </c>
    </row>
    <row r="20" spans="1:23">
      <c r="A20">
        <v>2004</v>
      </c>
      <c r="B20">
        <v>1</v>
      </c>
      <c r="C20">
        <v>19</v>
      </c>
      <c r="D20">
        <v>19</v>
      </c>
      <c r="E20" t="s">
        <v>46</v>
      </c>
      <c r="F20" t="s">
        <v>944</v>
      </c>
      <c r="G20" t="s">
        <v>8</v>
      </c>
      <c r="H20">
        <v>-0.8</v>
      </c>
      <c r="N20">
        <v>14</v>
      </c>
      <c r="O20">
        <v>1</v>
      </c>
      <c r="P20">
        <v>3</v>
      </c>
      <c r="Q20">
        <v>7.36</v>
      </c>
      <c r="R20">
        <v>1.97</v>
      </c>
      <c r="S20">
        <v>0</v>
      </c>
      <c r="T20" t="s">
        <v>34</v>
      </c>
      <c r="U20">
        <f t="shared" si="0"/>
        <v>0</v>
      </c>
      <c r="V20" t="str">
        <f t="shared" si="1"/>
        <v>MLB</v>
      </c>
      <c r="W20" t="s">
        <v>1251</v>
      </c>
    </row>
    <row r="21" spans="1:23">
      <c r="A21">
        <v>2004</v>
      </c>
      <c r="B21">
        <v>1</v>
      </c>
      <c r="C21">
        <v>20</v>
      </c>
      <c r="D21">
        <v>20</v>
      </c>
      <c r="E21" t="s">
        <v>75</v>
      </c>
      <c r="F21" t="s">
        <v>945</v>
      </c>
      <c r="G21" t="s">
        <v>5</v>
      </c>
      <c r="H21">
        <v>7.4</v>
      </c>
      <c r="I21">
        <v>830</v>
      </c>
      <c r="J21">
        <v>2933</v>
      </c>
      <c r="K21">
        <v>106</v>
      </c>
      <c r="L21">
        <v>0.24199999999999999</v>
      </c>
      <c r="M21">
        <v>0.71399999999999997</v>
      </c>
      <c r="T21" t="s">
        <v>52</v>
      </c>
      <c r="U21">
        <f t="shared" si="0"/>
        <v>1</v>
      </c>
      <c r="V21" t="str">
        <f t="shared" si="1"/>
        <v>MLB</v>
      </c>
      <c r="W21" t="s">
        <v>1252</v>
      </c>
    </row>
    <row r="22" spans="1:23">
      <c r="A22">
        <v>2004</v>
      </c>
      <c r="B22">
        <v>1</v>
      </c>
      <c r="C22">
        <v>21</v>
      </c>
      <c r="D22">
        <v>21</v>
      </c>
      <c r="E22" t="s">
        <v>87</v>
      </c>
      <c r="F22" t="s">
        <v>946</v>
      </c>
      <c r="G22" t="s">
        <v>2</v>
      </c>
      <c r="H22">
        <v>-0.6</v>
      </c>
      <c r="I22">
        <v>40</v>
      </c>
      <c r="J22">
        <v>41</v>
      </c>
      <c r="K22">
        <v>0</v>
      </c>
      <c r="L22">
        <v>0.19500000000000001</v>
      </c>
      <c r="M22">
        <v>0.45800000000000002</v>
      </c>
      <c r="T22" t="s">
        <v>52</v>
      </c>
      <c r="U22">
        <f t="shared" si="0"/>
        <v>1</v>
      </c>
      <c r="V22" t="str">
        <f t="shared" si="1"/>
        <v>MLB</v>
      </c>
      <c r="W22" t="s">
        <v>1253</v>
      </c>
    </row>
    <row r="23" spans="1:23">
      <c r="A23">
        <v>2004</v>
      </c>
      <c r="B23">
        <v>1</v>
      </c>
      <c r="C23">
        <v>22</v>
      </c>
      <c r="D23">
        <v>22</v>
      </c>
      <c r="E23" t="s">
        <v>947</v>
      </c>
      <c r="F23" t="s">
        <v>948</v>
      </c>
      <c r="G23" t="s">
        <v>9</v>
      </c>
      <c r="H23">
        <v>8.9</v>
      </c>
      <c r="N23">
        <v>409</v>
      </c>
      <c r="O23">
        <v>35</v>
      </c>
      <c r="P23">
        <v>25</v>
      </c>
      <c r="Q23">
        <v>3.88</v>
      </c>
      <c r="R23">
        <v>1.29</v>
      </c>
      <c r="S23">
        <v>120</v>
      </c>
      <c r="T23" t="s">
        <v>34</v>
      </c>
      <c r="U23">
        <f t="shared" si="0"/>
        <v>0</v>
      </c>
      <c r="V23" t="str">
        <f t="shared" si="1"/>
        <v>MLB</v>
      </c>
      <c r="W23" t="s">
        <v>1254</v>
      </c>
    </row>
    <row r="24" spans="1:23">
      <c r="A24">
        <v>2004</v>
      </c>
      <c r="B24">
        <v>1</v>
      </c>
      <c r="C24">
        <v>23</v>
      </c>
      <c r="D24">
        <v>23</v>
      </c>
      <c r="E24" t="s">
        <v>949</v>
      </c>
      <c r="F24" t="s">
        <v>950</v>
      </c>
      <c r="G24" t="s">
        <v>8</v>
      </c>
      <c r="H24">
        <v>11</v>
      </c>
      <c r="N24">
        <v>290</v>
      </c>
      <c r="O24">
        <v>88</v>
      </c>
      <c r="P24">
        <v>79</v>
      </c>
      <c r="Q24">
        <v>4.5199999999999996</v>
      </c>
      <c r="R24">
        <v>1.31</v>
      </c>
      <c r="S24">
        <v>3</v>
      </c>
      <c r="T24" t="s">
        <v>52</v>
      </c>
      <c r="U24">
        <f t="shared" si="0"/>
        <v>1</v>
      </c>
      <c r="V24" t="str">
        <f t="shared" si="1"/>
        <v>MLB</v>
      </c>
      <c r="W24" t="s">
        <v>1255</v>
      </c>
    </row>
    <row r="25" spans="1:23">
      <c r="A25">
        <v>2004</v>
      </c>
      <c r="B25">
        <v>1</v>
      </c>
      <c r="C25">
        <v>24</v>
      </c>
      <c r="D25">
        <v>24</v>
      </c>
      <c r="E25" t="s">
        <v>951</v>
      </c>
      <c r="F25" t="s">
        <v>952</v>
      </c>
      <c r="G25" t="s">
        <v>6</v>
      </c>
      <c r="H25">
        <v>0.2</v>
      </c>
      <c r="I25">
        <v>123</v>
      </c>
      <c r="J25">
        <v>363</v>
      </c>
      <c r="K25">
        <v>10</v>
      </c>
      <c r="L25">
        <v>0.20699999999999999</v>
      </c>
      <c r="M25">
        <v>0.61199999999999999</v>
      </c>
      <c r="T25" t="s">
        <v>34</v>
      </c>
      <c r="U25">
        <f t="shared" si="0"/>
        <v>0</v>
      </c>
      <c r="V25" t="str">
        <f t="shared" si="1"/>
        <v>MLB</v>
      </c>
      <c r="W25" t="s">
        <v>1256</v>
      </c>
    </row>
    <row r="26" spans="1:23">
      <c r="A26">
        <v>2004</v>
      </c>
      <c r="B26">
        <v>1</v>
      </c>
      <c r="C26">
        <v>25</v>
      </c>
      <c r="D26">
        <v>25</v>
      </c>
      <c r="E26" t="s">
        <v>953</v>
      </c>
      <c r="F26" t="s">
        <v>954</v>
      </c>
      <c r="G26" t="s">
        <v>8</v>
      </c>
      <c r="H26">
        <v>0.5</v>
      </c>
      <c r="N26">
        <v>24</v>
      </c>
      <c r="O26">
        <v>1</v>
      </c>
      <c r="P26">
        <v>1</v>
      </c>
      <c r="Q26">
        <v>3.62</v>
      </c>
      <c r="R26">
        <v>1.52</v>
      </c>
      <c r="S26">
        <v>0</v>
      </c>
      <c r="T26" t="s">
        <v>52</v>
      </c>
      <c r="U26">
        <f t="shared" si="0"/>
        <v>1</v>
      </c>
      <c r="V26" t="str">
        <f t="shared" si="1"/>
        <v>MLB</v>
      </c>
      <c r="W26" t="s">
        <v>1257</v>
      </c>
    </row>
    <row r="27" spans="1:23">
      <c r="A27">
        <v>2004</v>
      </c>
      <c r="B27">
        <v>1</v>
      </c>
      <c r="C27">
        <v>26</v>
      </c>
      <c r="D27">
        <v>26</v>
      </c>
      <c r="E27" t="s">
        <v>39</v>
      </c>
      <c r="F27" t="s">
        <v>955</v>
      </c>
      <c r="G27" t="s">
        <v>2</v>
      </c>
      <c r="T27" t="s">
        <v>34</v>
      </c>
      <c r="U27">
        <f t="shared" si="0"/>
        <v>0</v>
      </c>
      <c r="V27" t="s">
        <v>12</v>
      </c>
      <c r="W27">
        <v>-9999</v>
      </c>
    </row>
    <row r="28" spans="1:23">
      <c r="A28">
        <v>2004</v>
      </c>
      <c r="B28">
        <v>1</v>
      </c>
      <c r="C28">
        <v>27</v>
      </c>
      <c r="D28">
        <v>27</v>
      </c>
      <c r="E28" t="s">
        <v>65</v>
      </c>
      <c r="F28" t="s">
        <v>956</v>
      </c>
      <c r="G28" t="s">
        <v>9</v>
      </c>
      <c r="H28">
        <v>0.6</v>
      </c>
      <c r="N28">
        <v>168</v>
      </c>
      <c r="O28">
        <v>8</v>
      </c>
      <c r="P28">
        <v>3</v>
      </c>
      <c r="Q28">
        <v>4.58</v>
      </c>
      <c r="R28">
        <v>1.52</v>
      </c>
      <c r="S28">
        <v>4</v>
      </c>
      <c r="T28" t="s">
        <v>34</v>
      </c>
      <c r="U28">
        <f t="shared" si="0"/>
        <v>0</v>
      </c>
      <c r="V28" t="str">
        <f t="shared" si="1"/>
        <v>MLB</v>
      </c>
      <c r="W28" t="s">
        <v>1258</v>
      </c>
    </row>
    <row r="29" spans="1:23">
      <c r="A29">
        <v>2004</v>
      </c>
      <c r="B29">
        <v>1</v>
      </c>
      <c r="C29">
        <v>28</v>
      </c>
      <c r="D29">
        <v>28</v>
      </c>
      <c r="E29" t="s">
        <v>957</v>
      </c>
      <c r="F29" t="s">
        <v>958</v>
      </c>
      <c r="G29" t="s">
        <v>0</v>
      </c>
      <c r="H29">
        <v>1.9</v>
      </c>
      <c r="I29">
        <v>426</v>
      </c>
      <c r="J29">
        <v>1119</v>
      </c>
      <c r="K29">
        <v>21</v>
      </c>
      <c r="L29">
        <v>0.25700000000000001</v>
      </c>
      <c r="M29">
        <v>0.70499999999999996</v>
      </c>
      <c r="T29" t="s">
        <v>52</v>
      </c>
      <c r="U29">
        <f t="shared" si="0"/>
        <v>1</v>
      </c>
      <c r="V29" t="str">
        <f t="shared" si="1"/>
        <v>MLB</v>
      </c>
      <c r="W29" t="s">
        <v>1259</v>
      </c>
    </row>
    <row r="30" spans="1:23">
      <c r="A30">
        <v>2004</v>
      </c>
      <c r="B30">
        <v>1</v>
      </c>
      <c r="C30">
        <v>29</v>
      </c>
      <c r="D30">
        <v>29</v>
      </c>
      <c r="E30" t="s">
        <v>959</v>
      </c>
      <c r="F30" t="s">
        <v>960</v>
      </c>
      <c r="G30" t="s">
        <v>961</v>
      </c>
      <c r="T30" t="s">
        <v>34</v>
      </c>
      <c r="U30">
        <f t="shared" si="0"/>
        <v>0</v>
      </c>
      <c r="V30" t="s">
        <v>14</v>
      </c>
      <c r="W30">
        <v>-9999</v>
      </c>
    </row>
    <row r="31" spans="1:23">
      <c r="A31">
        <v>2004</v>
      </c>
      <c r="B31">
        <v>1</v>
      </c>
      <c r="C31">
        <v>30</v>
      </c>
      <c r="D31">
        <v>30</v>
      </c>
      <c r="E31" t="s">
        <v>962</v>
      </c>
      <c r="F31" t="s">
        <v>963</v>
      </c>
      <c r="G31" t="s">
        <v>8</v>
      </c>
      <c r="H31">
        <v>0.1</v>
      </c>
      <c r="N31">
        <v>5</v>
      </c>
      <c r="O31">
        <v>1</v>
      </c>
      <c r="P31">
        <v>2</v>
      </c>
      <c r="Q31">
        <v>5.47</v>
      </c>
      <c r="R31">
        <v>1.42</v>
      </c>
      <c r="S31">
        <v>0</v>
      </c>
      <c r="T31" t="s">
        <v>52</v>
      </c>
      <c r="U31">
        <f t="shared" si="0"/>
        <v>1</v>
      </c>
      <c r="V31" t="str">
        <f t="shared" si="1"/>
        <v>MLB</v>
      </c>
      <c r="W31" t="s">
        <v>1260</v>
      </c>
    </row>
    <row r="32" spans="1:23">
      <c r="A32">
        <v>2004</v>
      </c>
      <c r="B32" t="s">
        <v>537</v>
      </c>
      <c r="C32">
        <v>31</v>
      </c>
      <c r="D32">
        <v>31</v>
      </c>
      <c r="E32" t="s">
        <v>43</v>
      </c>
      <c r="F32" t="s">
        <v>964</v>
      </c>
      <c r="G32" t="s">
        <v>9</v>
      </c>
      <c r="H32">
        <v>7.8</v>
      </c>
      <c r="N32">
        <v>547</v>
      </c>
      <c r="O32">
        <v>36</v>
      </c>
      <c r="P32">
        <v>30</v>
      </c>
      <c r="Q32">
        <v>3.83</v>
      </c>
      <c r="R32">
        <v>1.34</v>
      </c>
      <c r="S32">
        <v>22</v>
      </c>
      <c r="T32" t="s">
        <v>34</v>
      </c>
      <c r="U32">
        <f t="shared" si="0"/>
        <v>0</v>
      </c>
      <c r="V32" t="str">
        <f t="shared" si="1"/>
        <v>MLB</v>
      </c>
      <c r="W32" t="s">
        <v>1261</v>
      </c>
    </row>
    <row r="33" spans="1:23">
      <c r="A33">
        <v>2004</v>
      </c>
      <c r="B33" t="s">
        <v>537</v>
      </c>
      <c r="C33">
        <v>32</v>
      </c>
      <c r="D33">
        <v>32</v>
      </c>
      <c r="E33" t="s">
        <v>73</v>
      </c>
      <c r="F33" t="s">
        <v>965</v>
      </c>
      <c r="G33" t="s">
        <v>9</v>
      </c>
      <c r="H33">
        <v>-0.8</v>
      </c>
      <c r="N33">
        <v>22</v>
      </c>
      <c r="O33">
        <v>4</v>
      </c>
      <c r="P33">
        <v>5</v>
      </c>
      <c r="Q33">
        <v>5.81</v>
      </c>
      <c r="R33">
        <v>1.57</v>
      </c>
      <c r="S33">
        <v>0</v>
      </c>
      <c r="T33" t="s">
        <v>34</v>
      </c>
      <c r="U33">
        <f t="shared" si="0"/>
        <v>0</v>
      </c>
      <c r="V33" t="str">
        <f t="shared" si="1"/>
        <v>MLB</v>
      </c>
      <c r="W33" t="s">
        <v>1262</v>
      </c>
    </row>
    <row r="34" spans="1:23">
      <c r="A34">
        <v>2004</v>
      </c>
      <c r="B34" t="s">
        <v>537</v>
      </c>
      <c r="C34">
        <v>33</v>
      </c>
      <c r="D34">
        <v>33</v>
      </c>
      <c r="E34" t="s">
        <v>79</v>
      </c>
      <c r="F34" t="s">
        <v>966</v>
      </c>
      <c r="G34" t="s">
        <v>8</v>
      </c>
      <c r="T34" t="s">
        <v>34</v>
      </c>
      <c r="U34">
        <f t="shared" si="0"/>
        <v>0</v>
      </c>
      <c r="V34" t="s">
        <v>12</v>
      </c>
      <c r="W34">
        <v>-9999</v>
      </c>
    </row>
    <row r="35" spans="1:23">
      <c r="A35">
        <v>2004</v>
      </c>
      <c r="B35" t="s">
        <v>537</v>
      </c>
      <c r="C35">
        <v>34</v>
      </c>
      <c r="D35">
        <v>34</v>
      </c>
      <c r="E35" t="s">
        <v>41</v>
      </c>
      <c r="F35" t="s">
        <v>967</v>
      </c>
      <c r="G35" t="s">
        <v>9</v>
      </c>
      <c r="T35" t="s">
        <v>34</v>
      </c>
      <c r="U35">
        <f t="shared" si="0"/>
        <v>0</v>
      </c>
      <c r="V35" t="s">
        <v>12</v>
      </c>
      <c r="W35">
        <v>-9999</v>
      </c>
    </row>
    <row r="36" spans="1:23">
      <c r="A36">
        <v>2004</v>
      </c>
      <c r="B36" t="s">
        <v>537</v>
      </c>
      <c r="C36">
        <v>35</v>
      </c>
      <c r="D36">
        <v>35</v>
      </c>
      <c r="E36" t="s">
        <v>75</v>
      </c>
      <c r="F36" t="s">
        <v>968</v>
      </c>
      <c r="G36" t="s">
        <v>8</v>
      </c>
      <c r="H36">
        <v>0</v>
      </c>
      <c r="N36">
        <v>4</v>
      </c>
      <c r="O36">
        <v>0</v>
      </c>
      <c r="P36">
        <v>0</v>
      </c>
      <c r="Q36">
        <v>4.91</v>
      </c>
      <c r="R36">
        <v>1.36</v>
      </c>
      <c r="S36">
        <v>0</v>
      </c>
      <c r="T36" t="s">
        <v>34</v>
      </c>
      <c r="U36">
        <f t="shared" si="0"/>
        <v>0</v>
      </c>
      <c r="V36" t="str">
        <f t="shared" si="1"/>
        <v>MLB</v>
      </c>
      <c r="W36" t="s">
        <v>1263</v>
      </c>
    </row>
    <row r="37" spans="1:23">
      <c r="A37">
        <v>2004</v>
      </c>
      <c r="B37" t="s">
        <v>537</v>
      </c>
      <c r="C37">
        <v>36</v>
      </c>
      <c r="D37">
        <v>36</v>
      </c>
      <c r="E37" t="s">
        <v>39</v>
      </c>
      <c r="F37" t="s">
        <v>969</v>
      </c>
      <c r="G37" t="s">
        <v>2</v>
      </c>
      <c r="H37">
        <v>-0.2</v>
      </c>
      <c r="I37">
        <v>11</v>
      </c>
      <c r="J37">
        <v>28</v>
      </c>
      <c r="K37">
        <v>1</v>
      </c>
      <c r="L37">
        <v>0.214</v>
      </c>
      <c r="M37">
        <v>0.61199999999999999</v>
      </c>
      <c r="T37" t="s">
        <v>34</v>
      </c>
      <c r="U37">
        <f t="shared" si="0"/>
        <v>0</v>
      </c>
      <c r="V37" t="str">
        <f t="shared" si="1"/>
        <v>MLB</v>
      </c>
      <c r="W37" t="s">
        <v>1264</v>
      </c>
    </row>
    <row r="38" spans="1:23">
      <c r="A38">
        <v>2004</v>
      </c>
      <c r="B38" t="s">
        <v>537</v>
      </c>
      <c r="C38">
        <v>37</v>
      </c>
      <c r="D38">
        <v>37</v>
      </c>
      <c r="E38" t="s">
        <v>85</v>
      </c>
      <c r="F38" t="s">
        <v>970</v>
      </c>
      <c r="G38" t="s">
        <v>6</v>
      </c>
      <c r="T38" t="s">
        <v>52</v>
      </c>
      <c r="U38">
        <f t="shared" si="0"/>
        <v>1</v>
      </c>
      <c r="V38" t="s">
        <v>1114</v>
      </c>
      <c r="W38">
        <v>-9999</v>
      </c>
    </row>
    <row r="39" spans="1:23">
      <c r="A39">
        <v>2004</v>
      </c>
      <c r="B39" t="s">
        <v>537</v>
      </c>
      <c r="C39">
        <v>38</v>
      </c>
      <c r="D39">
        <v>38</v>
      </c>
      <c r="E39" t="s">
        <v>41</v>
      </c>
      <c r="F39" t="s">
        <v>971</v>
      </c>
      <c r="G39" t="s">
        <v>961</v>
      </c>
      <c r="H39">
        <v>28.3</v>
      </c>
      <c r="N39">
        <v>344</v>
      </c>
      <c r="O39">
        <v>131</v>
      </c>
      <c r="P39">
        <v>101</v>
      </c>
      <c r="Q39">
        <v>3.7</v>
      </c>
      <c r="R39">
        <v>1.32</v>
      </c>
      <c r="S39">
        <v>0</v>
      </c>
      <c r="T39" t="s">
        <v>52</v>
      </c>
      <c r="U39">
        <f t="shared" si="0"/>
        <v>1</v>
      </c>
      <c r="V39" t="str">
        <f t="shared" si="1"/>
        <v>MLB</v>
      </c>
      <c r="W39" t="s">
        <v>1265</v>
      </c>
    </row>
    <row r="40" spans="1:23">
      <c r="A40">
        <v>2004</v>
      </c>
      <c r="B40" t="s">
        <v>537</v>
      </c>
      <c r="C40">
        <v>39</v>
      </c>
      <c r="D40">
        <v>39</v>
      </c>
      <c r="E40" t="s">
        <v>75</v>
      </c>
      <c r="F40" t="s">
        <v>972</v>
      </c>
      <c r="G40" t="s">
        <v>8</v>
      </c>
      <c r="T40" t="s">
        <v>52</v>
      </c>
      <c r="U40">
        <f t="shared" si="0"/>
        <v>1</v>
      </c>
      <c r="V40" t="s">
        <v>13</v>
      </c>
      <c r="W40">
        <v>-9999</v>
      </c>
    </row>
    <row r="41" spans="1:23">
      <c r="A41">
        <v>2004</v>
      </c>
      <c r="B41" t="s">
        <v>537</v>
      </c>
      <c r="C41">
        <v>40</v>
      </c>
      <c r="D41">
        <v>40</v>
      </c>
      <c r="E41" t="s">
        <v>39</v>
      </c>
      <c r="F41" t="s">
        <v>973</v>
      </c>
      <c r="G41" t="s">
        <v>8</v>
      </c>
      <c r="H41">
        <v>14.5</v>
      </c>
      <c r="N41">
        <v>668</v>
      </c>
      <c r="O41">
        <v>42</v>
      </c>
      <c r="P41">
        <v>34</v>
      </c>
      <c r="Q41">
        <v>2.95</v>
      </c>
      <c r="R41">
        <v>1.07</v>
      </c>
      <c r="S41">
        <v>324</v>
      </c>
      <c r="T41" t="s">
        <v>34</v>
      </c>
      <c r="U41">
        <f t="shared" si="0"/>
        <v>0</v>
      </c>
      <c r="V41" t="str">
        <f t="shared" si="1"/>
        <v>MLB</v>
      </c>
      <c r="W41" t="s">
        <v>1266</v>
      </c>
    </row>
    <row r="42" spans="1:23">
      <c r="A42">
        <v>2004</v>
      </c>
      <c r="B42" t="s">
        <v>537</v>
      </c>
      <c r="C42">
        <v>41</v>
      </c>
      <c r="D42">
        <v>41</v>
      </c>
      <c r="E42" t="s">
        <v>85</v>
      </c>
      <c r="F42" t="s">
        <v>974</v>
      </c>
      <c r="G42" t="s">
        <v>8</v>
      </c>
      <c r="H42">
        <v>0</v>
      </c>
      <c r="N42">
        <v>4</v>
      </c>
      <c r="O42">
        <v>0</v>
      </c>
      <c r="P42">
        <v>0</v>
      </c>
      <c r="Q42">
        <v>5.4</v>
      </c>
      <c r="R42">
        <v>1.4</v>
      </c>
      <c r="S42">
        <v>0</v>
      </c>
      <c r="T42" t="s">
        <v>163</v>
      </c>
      <c r="U42">
        <f t="shared" si="0"/>
        <v>0</v>
      </c>
      <c r="V42" t="str">
        <f t="shared" si="1"/>
        <v>MLB</v>
      </c>
      <c r="W42" t="s">
        <v>1267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58852-17DB-417C-9DDF-4C38DB7730DF}">
  <dimension ref="A1:W49"/>
  <sheetViews>
    <sheetView topLeftCell="A43" workbookViewId="0">
      <selection activeCell="W9" sqref="W9"/>
    </sheetView>
  </sheetViews>
  <sheetFormatPr defaultRowHeight="14.5"/>
  <cols>
    <col min="1" max="1" width="4.81640625" bestFit="1" customWidth="1"/>
    <col min="2" max="2" width="3.90625" bestFit="1" customWidth="1"/>
    <col min="3" max="3" width="6" bestFit="1" customWidth="1"/>
    <col min="4" max="4" width="5.90625" bestFit="1" customWidth="1"/>
    <col min="5" max="5" width="18" bestFit="1" customWidth="1"/>
    <col min="6" max="6" width="24" bestFit="1" customWidth="1"/>
    <col min="7" max="7" width="4.26953125" bestFit="1" customWidth="1"/>
    <col min="8" max="10" width="4.81640625" bestFit="1" customWidth="1"/>
    <col min="11" max="11" width="3.81640625" bestFit="1" customWidth="1"/>
    <col min="12" max="13" width="5.81640625" bestFit="1" customWidth="1"/>
    <col min="14" max="14" width="3.81640625" bestFit="1" customWidth="1"/>
    <col min="15" max="15" width="2.81640625" bestFit="1" customWidth="1"/>
    <col min="16" max="16" width="3.81640625" bestFit="1" customWidth="1"/>
    <col min="17" max="17" width="5.81640625" bestFit="1" customWidth="1"/>
    <col min="18" max="18" width="5.26953125" bestFit="1" customWidth="1"/>
    <col min="19" max="19" width="2.90625" bestFit="1" customWidth="1"/>
    <col min="20" max="20" width="4.54296875" bestFit="1" customWidth="1"/>
    <col min="21" max="21" width="4" bestFit="1" customWidth="1"/>
    <col min="23" max="23" width="10.08984375" bestFit="1" customWidth="1"/>
  </cols>
  <sheetData>
    <row r="1" spans="1:23">
      <c r="A1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>
        <v>2005</v>
      </c>
      <c r="B2">
        <v>1</v>
      </c>
      <c r="C2">
        <v>1</v>
      </c>
      <c r="D2">
        <v>1</v>
      </c>
      <c r="E2" t="s">
        <v>91</v>
      </c>
      <c r="F2" t="s">
        <v>874</v>
      </c>
      <c r="G2" t="s">
        <v>5</v>
      </c>
      <c r="H2">
        <v>32.200000000000003</v>
      </c>
      <c r="I2">
        <v>1845</v>
      </c>
      <c r="J2">
        <v>6721</v>
      </c>
      <c r="K2">
        <v>325</v>
      </c>
      <c r="L2">
        <v>0.26100000000000001</v>
      </c>
      <c r="M2">
        <v>0.81200000000000006</v>
      </c>
      <c r="T2" t="s">
        <v>52</v>
      </c>
      <c r="U2">
        <f>IF(ISNUMBER(SEARCH("HS",T2)),1,0)</f>
        <v>1</v>
      </c>
      <c r="V2" t="str">
        <f>IF(ISNUMBER(H2),"MLB","")</f>
        <v>MLB</v>
      </c>
      <c r="W2" t="s">
        <v>1268</v>
      </c>
    </row>
    <row r="3" spans="1:23">
      <c r="A3">
        <v>2005</v>
      </c>
      <c r="B3">
        <v>1</v>
      </c>
      <c r="C3">
        <v>2</v>
      </c>
      <c r="D3">
        <v>2</v>
      </c>
      <c r="E3" t="s">
        <v>43</v>
      </c>
      <c r="F3" t="s">
        <v>875</v>
      </c>
      <c r="G3" t="s">
        <v>11</v>
      </c>
      <c r="H3">
        <v>34.799999999999997</v>
      </c>
      <c r="I3">
        <v>1753</v>
      </c>
      <c r="J3">
        <v>6391</v>
      </c>
      <c r="K3">
        <v>190</v>
      </c>
      <c r="L3">
        <v>0.25700000000000001</v>
      </c>
      <c r="M3">
        <v>0.748</v>
      </c>
      <c r="T3" t="s">
        <v>34</v>
      </c>
      <c r="U3">
        <f t="shared" ref="U3:U49" si="0">IF(ISNUMBER(SEARCH("HS",T3)),1,0)</f>
        <v>0</v>
      </c>
      <c r="V3" t="str">
        <f t="shared" ref="V3:V49" si="1">IF(ISNUMBER(H3),"MLB","")</f>
        <v>MLB</v>
      </c>
      <c r="W3" t="s">
        <v>1269</v>
      </c>
    </row>
    <row r="4" spans="1:23">
      <c r="A4">
        <v>2005</v>
      </c>
      <c r="B4">
        <v>1</v>
      </c>
      <c r="C4">
        <v>3</v>
      </c>
      <c r="D4">
        <v>3</v>
      </c>
      <c r="E4" t="s">
        <v>63</v>
      </c>
      <c r="F4" t="s">
        <v>876</v>
      </c>
      <c r="G4" t="s">
        <v>6</v>
      </c>
      <c r="H4">
        <v>-1.2</v>
      </c>
      <c r="I4">
        <v>152</v>
      </c>
      <c r="J4">
        <v>385</v>
      </c>
      <c r="K4">
        <v>14</v>
      </c>
      <c r="L4">
        <v>0.218</v>
      </c>
      <c r="M4">
        <v>0.64800000000000002</v>
      </c>
      <c r="T4" t="s">
        <v>34</v>
      </c>
      <c r="U4">
        <f t="shared" si="0"/>
        <v>0</v>
      </c>
      <c r="V4" t="str">
        <f t="shared" si="1"/>
        <v>MLB</v>
      </c>
      <c r="W4" t="s">
        <v>1270</v>
      </c>
    </row>
    <row r="5" spans="1:23">
      <c r="A5">
        <v>2005</v>
      </c>
      <c r="B5">
        <v>1</v>
      </c>
      <c r="C5">
        <v>4</v>
      </c>
      <c r="D5">
        <v>4</v>
      </c>
      <c r="E5" t="s">
        <v>53</v>
      </c>
      <c r="F5" t="s">
        <v>877</v>
      </c>
      <c r="G5" t="s">
        <v>11</v>
      </c>
      <c r="H5">
        <v>40.1</v>
      </c>
      <c r="I5">
        <v>1799</v>
      </c>
      <c r="J5">
        <v>6654</v>
      </c>
      <c r="K5">
        <v>284</v>
      </c>
      <c r="L5">
        <v>0.27700000000000002</v>
      </c>
      <c r="M5">
        <v>0.81599999999999995</v>
      </c>
      <c r="T5" t="s">
        <v>34</v>
      </c>
      <c r="U5">
        <f t="shared" si="0"/>
        <v>0</v>
      </c>
      <c r="V5" t="str">
        <f t="shared" si="1"/>
        <v>MLB</v>
      </c>
      <c r="W5" t="s">
        <v>1271</v>
      </c>
    </row>
    <row r="6" spans="1:23">
      <c r="A6">
        <v>2005</v>
      </c>
      <c r="B6">
        <v>1</v>
      </c>
      <c r="C6">
        <v>5</v>
      </c>
      <c r="D6">
        <v>5</v>
      </c>
      <c r="E6" t="s">
        <v>67</v>
      </c>
      <c r="F6" t="s">
        <v>878</v>
      </c>
      <c r="G6" t="s">
        <v>11</v>
      </c>
      <c r="H6">
        <v>47.2</v>
      </c>
      <c r="I6">
        <v>1766</v>
      </c>
      <c r="J6">
        <v>6622</v>
      </c>
      <c r="K6">
        <v>352</v>
      </c>
      <c r="L6">
        <v>0.29599999999999999</v>
      </c>
      <c r="M6">
        <v>0.89100000000000001</v>
      </c>
      <c r="T6" t="s">
        <v>34</v>
      </c>
      <c r="U6">
        <f t="shared" si="0"/>
        <v>0</v>
      </c>
      <c r="V6" t="str">
        <f t="shared" si="1"/>
        <v>MLB</v>
      </c>
      <c r="W6" t="s">
        <v>1272</v>
      </c>
    </row>
    <row r="7" spans="1:23">
      <c r="A7">
        <v>2005</v>
      </c>
      <c r="B7">
        <v>1</v>
      </c>
      <c r="C7">
        <v>6</v>
      </c>
      <c r="D7">
        <v>6</v>
      </c>
      <c r="E7" t="s">
        <v>73</v>
      </c>
      <c r="F7" t="s">
        <v>879</v>
      </c>
      <c r="G7" t="s">
        <v>9</v>
      </c>
      <c r="H7">
        <v>9.9</v>
      </c>
      <c r="N7">
        <v>129</v>
      </c>
      <c r="O7">
        <v>51</v>
      </c>
      <c r="P7">
        <v>45</v>
      </c>
      <c r="Q7">
        <v>4.16</v>
      </c>
      <c r="R7">
        <v>1.4</v>
      </c>
      <c r="S7">
        <v>0</v>
      </c>
      <c r="T7" t="s">
        <v>34</v>
      </c>
      <c r="U7">
        <f t="shared" si="0"/>
        <v>0</v>
      </c>
      <c r="V7" t="str">
        <f t="shared" si="1"/>
        <v>MLB</v>
      </c>
      <c r="W7" t="s">
        <v>1273</v>
      </c>
    </row>
    <row r="8" spans="1:23">
      <c r="A8">
        <v>2005</v>
      </c>
      <c r="B8">
        <v>1</v>
      </c>
      <c r="C8">
        <v>7</v>
      </c>
      <c r="D8">
        <v>7</v>
      </c>
      <c r="E8" t="s">
        <v>37</v>
      </c>
      <c r="F8" t="s">
        <v>880</v>
      </c>
      <c r="G8" t="s">
        <v>5</v>
      </c>
      <c r="H8">
        <v>44.8</v>
      </c>
      <c r="I8">
        <v>1291</v>
      </c>
      <c r="J8">
        <v>4804</v>
      </c>
      <c r="K8">
        <v>225</v>
      </c>
      <c r="L8">
        <v>0.28999999999999998</v>
      </c>
      <c r="M8">
        <v>0.85599999999999998</v>
      </c>
      <c r="T8" t="s">
        <v>34</v>
      </c>
      <c r="U8">
        <f t="shared" si="0"/>
        <v>0</v>
      </c>
      <c r="V8" t="str">
        <f t="shared" si="1"/>
        <v>MLB</v>
      </c>
      <c r="W8" t="s">
        <v>1274</v>
      </c>
    </row>
    <row r="9" spans="1:23">
      <c r="A9">
        <v>2005</v>
      </c>
      <c r="B9">
        <v>1</v>
      </c>
      <c r="C9">
        <v>8</v>
      </c>
      <c r="D9">
        <v>8</v>
      </c>
      <c r="E9" t="s">
        <v>768</v>
      </c>
      <c r="F9" t="s">
        <v>881</v>
      </c>
      <c r="G9" t="s">
        <v>8</v>
      </c>
      <c r="T9" t="s">
        <v>34</v>
      </c>
      <c r="U9">
        <f t="shared" si="0"/>
        <v>0</v>
      </c>
      <c r="V9" t="s">
        <v>13</v>
      </c>
      <c r="W9">
        <v>-9999</v>
      </c>
    </row>
    <row r="10" spans="1:23">
      <c r="A10">
        <v>2005</v>
      </c>
      <c r="B10">
        <v>1</v>
      </c>
      <c r="C10">
        <v>9</v>
      </c>
      <c r="D10">
        <v>9</v>
      </c>
      <c r="E10" t="s">
        <v>71</v>
      </c>
      <c r="F10" t="s">
        <v>882</v>
      </c>
      <c r="G10" t="s">
        <v>8</v>
      </c>
      <c r="H10">
        <v>5.7</v>
      </c>
      <c r="N10">
        <v>275</v>
      </c>
      <c r="O10">
        <v>68</v>
      </c>
      <c r="P10">
        <v>103</v>
      </c>
      <c r="Q10">
        <v>4.68</v>
      </c>
      <c r="R10">
        <v>1.51</v>
      </c>
      <c r="S10">
        <v>1</v>
      </c>
      <c r="T10" t="s">
        <v>34</v>
      </c>
      <c r="U10">
        <f t="shared" si="0"/>
        <v>0</v>
      </c>
      <c r="V10" t="str">
        <f t="shared" si="1"/>
        <v>MLB</v>
      </c>
      <c r="W10" t="s">
        <v>1275</v>
      </c>
    </row>
    <row r="11" spans="1:23">
      <c r="A11">
        <v>2005</v>
      </c>
      <c r="B11">
        <v>1</v>
      </c>
      <c r="C11">
        <v>10</v>
      </c>
      <c r="D11">
        <v>10</v>
      </c>
      <c r="E11" t="s">
        <v>55</v>
      </c>
      <c r="F11" t="s">
        <v>883</v>
      </c>
      <c r="G11" t="s">
        <v>2</v>
      </c>
      <c r="H11">
        <v>13.4</v>
      </c>
      <c r="I11">
        <v>1162</v>
      </c>
      <c r="J11">
        <v>3824</v>
      </c>
      <c r="K11">
        <v>72</v>
      </c>
      <c r="L11">
        <v>0.254</v>
      </c>
      <c r="M11">
        <v>0.69699999999999995</v>
      </c>
      <c r="T11" t="s">
        <v>52</v>
      </c>
      <c r="U11">
        <f t="shared" si="0"/>
        <v>1</v>
      </c>
      <c r="V11" t="str">
        <f t="shared" si="1"/>
        <v>MLB</v>
      </c>
      <c r="W11" t="s">
        <v>1276</v>
      </c>
    </row>
    <row r="12" spans="1:23">
      <c r="A12">
        <v>2005</v>
      </c>
      <c r="B12">
        <v>1</v>
      </c>
      <c r="C12">
        <v>11</v>
      </c>
      <c r="D12">
        <v>11</v>
      </c>
      <c r="E12" t="s">
        <v>50</v>
      </c>
      <c r="F12" t="s">
        <v>884</v>
      </c>
      <c r="G12" t="s">
        <v>2</v>
      </c>
      <c r="H12">
        <v>49.2</v>
      </c>
      <c r="I12">
        <v>2289</v>
      </c>
      <c r="J12">
        <v>8405</v>
      </c>
      <c r="K12">
        <v>333</v>
      </c>
      <c r="L12">
        <v>0.27100000000000002</v>
      </c>
      <c r="M12">
        <v>0.82</v>
      </c>
      <c r="T12" t="s">
        <v>52</v>
      </c>
      <c r="U12">
        <f t="shared" si="0"/>
        <v>1</v>
      </c>
      <c r="V12" t="str">
        <f t="shared" si="1"/>
        <v>MLB</v>
      </c>
      <c r="W12" t="s">
        <v>1277</v>
      </c>
    </row>
    <row r="13" spans="1:23">
      <c r="A13">
        <v>2005</v>
      </c>
      <c r="B13">
        <v>1</v>
      </c>
      <c r="C13">
        <v>12</v>
      </c>
      <c r="D13">
        <v>12</v>
      </c>
      <c r="E13" t="s">
        <v>35</v>
      </c>
      <c r="F13" t="s">
        <v>885</v>
      </c>
      <c r="G13" t="s">
        <v>2</v>
      </c>
      <c r="H13">
        <v>19.7</v>
      </c>
      <c r="I13">
        <v>1650</v>
      </c>
      <c r="J13">
        <v>5964</v>
      </c>
      <c r="K13">
        <v>319</v>
      </c>
      <c r="L13">
        <v>0.24399999999999999</v>
      </c>
      <c r="M13">
        <v>0.78100000000000003</v>
      </c>
      <c r="T13" t="s">
        <v>52</v>
      </c>
      <c r="U13">
        <f t="shared" si="0"/>
        <v>1</v>
      </c>
      <c r="V13" t="str">
        <f t="shared" si="1"/>
        <v>MLB</v>
      </c>
      <c r="W13" t="s">
        <v>1278</v>
      </c>
    </row>
    <row r="14" spans="1:23">
      <c r="A14">
        <v>2005</v>
      </c>
      <c r="B14">
        <v>1</v>
      </c>
      <c r="C14">
        <v>13</v>
      </c>
      <c r="D14">
        <v>13</v>
      </c>
      <c r="E14" t="s">
        <v>77</v>
      </c>
      <c r="F14" t="s">
        <v>886</v>
      </c>
      <c r="G14" t="s">
        <v>6</v>
      </c>
      <c r="H14">
        <v>0</v>
      </c>
      <c r="I14">
        <v>122</v>
      </c>
      <c r="J14">
        <v>200</v>
      </c>
      <c r="K14">
        <v>9</v>
      </c>
      <c r="L14">
        <v>0.24</v>
      </c>
      <c r="M14">
        <v>0.73099999999999998</v>
      </c>
      <c r="T14" t="s">
        <v>52</v>
      </c>
      <c r="U14">
        <f t="shared" si="0"/>
        <v>1</v>
      </c>
      <c r="V14" t="str">
        <f t="shared" si="1"/>
        <v>MLB</v>
      </c>
      <c r="W14" t="s">
        <v>1279</v>
      </c>
    </row>
    <row r="15" spans="1:23">
      <c r="A15">
        <v>2005</v>
      </c>
      <c r="B15">
        <v>1</v>
      </c>
      <c r="C15">
        <v>14</v>
      </c>
      <c r="D15">
        <v>14</v>
      </c>
      <c r="E15" t="s">
        <v>206</v>
      </c>
      <c r="F15" t="s">
        <v>887</v>
      </c>
      <c r="G15" t="s">
        <v>2</v>
      </c>
      <c r="H15">
        <v>0.2</v>
      </c>
      <c r="I15">
        <v>265</v>
      </c>
      <c r="J15">
        <v>818</v>
      </c>
      <c r="K15">
        <v>4</v>
      </c>
      <c r="L15">
        <v>0.24</v>
      </c>
      <c r="M15">
        <v>0.61499999999999999</v>
      </c>
      <c r="T15" t="s">
        <v>34</v>
      </c>
      <c r="U15">
        <f t="shared" si="0"/>
        <v>0</v>
      </c>
      <c r="V15" t="str">
        <f t="shared" si="1"/>
        <v>MLB</v>
      </c>
      <c r="W15" t="s">
        <v>1280</v>
      </c>
    </row>
    <row r="16" spans="1:23">
      <c r="A16">
        <v>2005</v>
      </c>
      <c r="B16">
        <v>1</v>
      </c>
      <c r="C16">
        <v>15</v>
      </c>
      <c r="D16">
        <v>15</v>
      </c>
      <c r="E16" t="s">
        <v>41</v>
      </c>
      <c r="F16" t="s">
        <v>888</v>
      </c>
      <c r="G16" t="s">
        <v>8</v>
      </c>
      <c r="H16">
        <v>0.3</v>
      </c>
      <c r="N16">
        <v>27</v>
      </c>
      <c r="O16">
        <v>2</v>
      </c>
      <c r="P16">
        <v>2</v>
      </c>
      <c r="Q16">
        <v>5.24</v>
      </c>
      <c r="R16">
        <v>1.6</v>
      </c>
      <c r="S16">
        <v>0</v>
      </c>
      <c r="T16" t="s">
        <v>34</v>
      </c>
      <c r="U16">
        <f t="shared" si="0"/>
        <v>0</v>
      </c>
      <c r="V16" t="str">
        <f t="shared" si="1"/>
        <v>MLB</v>
      </c>
      <c r="W16" t="s">
        <v>1281</v>
      </c>
    </row>
    <row r="17" spans="1:23">
      <c r="A17">
        <v>2005</v>
      </c>
      <c r="B17">
        <v>1</v>
      </c>
      <c r="C17">
        <v>16</v>
      </c>
      <c r="D17">
        <v>16</v>
      </c>
      <c r="E17" t="s">
        <v>65</v>
      </c>
      <c r="F17" t="s">
        <v>889</v>
      </c>
      <c r="G17" t="s">
        <v>8</v>
      </c>
      <c r="H17">
        <v>2</v>
      </c>
      <c r="N17">
        <v>170</v>
      </c>
      <c r="O17">
        <v>37</v>
      </c>
      <c r="P17">
        <v>58</v>
      </c>
      <c r="Q17">
        <v>5</v>
      </c>
      <c r="R17">
        <v>1.45</v>
      </c>
      <c r="S17">
        <v>0</v>
      </c>
      <c r="T17" t="s">
        <v>52</v>
      </c>
      <c r="U17">
        <f t="shared" si="0"/>
        <v>1</v>
      </c>
      <c r="V17" t="str">
        <f t="shared" si="1"/>
        <v>MLB</v>
      </c>
      <c r="W17" t="s">
        <v>1282</v>
      </c>
    </row>
    <row r="18" spans="1:23">
      <c r="A18">
        <v>2005</v>
      </c>
      <c r="B18">
        <v>1</v>
      </c>
      <c r="C18">
        <v>17</v>
      </c>
      <c r="D18">
        <v>17</v>
      </c>
      <c r="E18" t="s">
        <v>845</v>
      </c>
      <c r="F18" t="s">
        <v>890</v>
      </c>
      <c r="G18" t="s">
        <v>5</v>
      </c>
      <c r="T18" t="s">
        <v>52</v>
      </c>
      <c r="U18">
        <f t="shared" si="0"/>
        <v>1</v>
      </c>
      <c r="V18" t="s">
        <v>14</v>
      </c>
      <c r="W18">
        <v>-9999</v>
      </c>
    </row>
    <row r="19" spans="1:23">
      <c r="A19">
        <v>2005</v>
      </c>
      <c r="B19">
        <v>1</v>
      </c>
      <c r="C19">
        <v>18</v>
      </c>
      <c r="D19">
        <v>18</v>
      </c>
      <c r="E19" t="s">
        <v>83</v>
      </c>
      <c r="F19" t="s">
        <v>891</v>
      </c>
      <c r="G19" t="s">
        <v>8</v>
      </c>
      <c r="H19">
        <v>-0.7</v>
      </c>
      <c r="N19">
        <v>3</v>
      </c>
      <c r="O19">
        <v>1</v>
      </c>
      <c r="P19">
        <v>2</v>
      </c>
      <c r="Q19">
        <v>13.06</v>
      </c>
      <c r="R19">
        <v>2.71</v>
      </c>
      <c r="S19">
        <v>0</v>
      </c>
      <c r="T19" t="s">
        <v>34</v>
      </c>
      <c r="U19">
        <f t="shared" si="0"/>
        <v>0</v>
      </c>
      <c r="V19" t="str">
        <f t="shared" si="1"/>
        <v>MLB</v>
      </c>
      <c r="W19" t="s">
        <v>1283</v>
      </c>
    </row>
    <row r="20" spans="1:23">
      <c r="A20">
        <v>2005</v>
      </c>
      <c r="B20">
        <v>1</v>
      </c>
      <c r="C20">
        <v>19</v>
      </c>
      <c r="D20">
        <v>19</v>
      </c>
      <c r="E20" t="s">
        <v>93</v>
      </c>
      <c r="F20" t="s">
        <v>892</v>
      </c>
      <c r="G20" t="s">
        <v>2</v>
      </c>
      <c r="H20">
        <v>1.5</v>
      </c>
      <c r="I20">
        <v>574</v>
      </c>
      <c r="J20">
        <v>1386</v>
      </c>
      <c r="K20">
        <v>56</v>
      </c>
      <c r="L20">
        <v>0.23499999999999999</v>
      </c>
      <c r="M20">
        <v>0.72</v>
      </c>
      <c r="T20" t="s">
        <v>34</v>
      </c>
      <c r="U20">
        <f t="shared" si="0"/>
        <v>0</v>
      </c>
      <c r="V20" t="str">
        <f t="shared" si="1"/>
        <v>MLB</v>
      </c>
      <c r="W20" t="s">
        <v>1177</v>
      </c>
    </row>
    <row r="21" spans="1:23">
      <c r="A21">
        <v>2005</v>
      </c>
      <c r="B21">
        <v>1</v>
      </c>
      <c r="C21">
        <v>20</v>
      </c>
      <c r="D21">
        <v>20</v>
      </c>
      <c r="E21" t="s">
        <v>61</v>
      </c>
      <c r="F21" t="s">
        <v>893</v>
      </c>
      <c r="G21" t="s">
        <v>9</v>
      </c>
      <c r="T21" t="s">
        <v>52</v>
      </c>
      <c r="U21">
        <f t="shared" si="0"/>
        <v>1</v>
      </c>
      <c r="V21" t="s">
        <v>14</v>
      </c>
      <c r="W21">
        <v>-9999</v>
      </c>
    </row>
    <row r="22" spans="1:23">
      <c r="A22">
        <v>2005</v>
      </c>
      <c r="B22">
        <v>1</v>
      </c>
      <c r="C22">
        <v>21</v>
      </c>
      <c r="D22">
        <v>21</v>
      </c>
      <c r="E22" t="s">
        <v>39</v>
      </c>
      <c r="F22" t="s">
        <v>894</v>
      </c>
      <c r="G22" t="s">
        <v>5</v>
      </c>
      <c r="H22">
        <v>9.9</v>
      </c>
      <c r="I22">
        <v>971</v>
      </c>
      <c r="J22">
        <v>2799</v>
      </c>
      <c r="K22">
        <v>36</v>
      </c>
      <c r="L22">
        <v>0.24199999999999999</v>
      </c>
      <c r="M22">
        <v>0.64800000000000002</v>
      </c>
      <c r="T22" t="s">
        <v>34</v>
      </c>
      <c r="U22">
        <f t="shared" si="0"/>
        <v>0</v>
      </c>
      <c r="V22" t="str">
        <f t="shared" si="1"/>
        <v>MLB</v>
      </c>
      <c r="W22" t="s">
        <v>1284</v>
      </c>
    </row>
    <row r="23" spans="1:23">
      <c r="A23">
        <v>2005</v>
      </c>
      <c r="B23">
        <v>1</v>
      </c>
      <c r="C23">
        <v>22</v>
      </c>
      <c r="D23">
        <v>22</v>
      </c>
      <c r="E23" t="s">
        <v>895</v>
      </c>
      <c r="F23" t="s">
        <v>896</v>
      </c>
      <c r="G23" t="s">
        <v>9</v>
      </c>
      <c r="H23">
        <v>-0.1</v>
      </c>
      <c r="N23">
        <v>52</v>
      </c>
      <c r="O23">
        <v>1</v>
      </c>
      <c r="P23">
        <v>3</v>
      </c>
      <c r="Q23">
        <v>4.9400000000000004</v>
      </c>
      <c r="R23">
        <v>1.52</v>
      </c>
      <c r="S23">
        <v>0</v>
      </c>
      <c r="T23" t="s">
        <v>52</v>
      </c>
      <c r="U23">
        <f t="shared" si="0"/>
        <v>1</v>
      </c>
      <c r="V23" t="str">
        <f t="shared" si="1"/>
        <v>MLB</v>
      </c>
      <c r="W23" t="s">
        <v>1285</v>
      </c>
    </row>
    <row r="24" spans="1:23">
      <c r="A24">
        <v>2005</v>
      </c>
      <c r="B24">
        <v>1</v>
      </c>
      <c r="C24">
        <v>23</v>
      </c>
      <c r="D24">
        <v>23</v>
      </c>
      <c r="E24" t="s">
        <v>897</v>
      </c>
      <c r="F24" t="s">
        <v>898</v>
      </c>
      <c r="G24" t="s">
        <v>2</v>
      </c>
      <c r="H24">
        <v>31</v>
      </c>
      <c r="I24">
        <v>1235</v>
      </c>
      <c r="J24">
        <v>4846</v>
      </c>
      <c r="K24">
        <v>104</v>
      </c>
      <c r="L24">
        <v>0.28399999999999997</v>
      </c>
      <c r="M24">
        <v>0.76</v>
      </c>
      <c r="T24" t="s">
        <v>34</v>
      </c>
      <c r="U24">
        <f t="shared" si="0"/>
        <v>0</v>
      </c>
      <c r="V24" t="str">
        <f t="shared" si="1"/>
        <v>MLB</v>
      </c>
      <c r="W24" t="s">
        <v>1286</v>
      </c>
    </row>
    <row r="25" spans="1:23">
      <c r="A25">
        <v>2005</v>
      </c>
      <c r="B25">
        <v>1</v>
      </c>
      <c r="C25">
        <v>24</v>
      </c>
      <c r="D25">
        <v>24</v>
      </c>
      <c r="E25" t="s">
        <v>89</v>
      </c>
      <c r="F25" t="s">
        <v>899</v>
      </c>
      <c r="G25" t="s">
        <v>9</v>
      </c>
      <c r="H25">
        <v>2.1</v>
      </c>
      <c r="N25">
        <v>1</v>
      </c>
      <c r="O25">
        <v>0</v>
      </c>
      <c r="P25">
        <v>0</v>
      </c>
      <c r="Q25">
        <v>18</v>
      </c>
      <c r="R25">
        <v>3</v>
      </c>
      <c r="S25">
        <v>0</v>
      </c>
      <c r="T25" t="s">
        <v>34</v>
      </c>
      <c r="U25">
        <f t="shared" si="0"/>
        <v>0</v>
      </c>
      <c r="V25" t="str">
        <f t="shared" si="1"/>
        <v>MLB</v>
      </c>
      <c r="W25" t="s">
        <v>1287</v>
      </c>
    </row>
    <row r="26" spans="1:23">
      <c r="A26">
        <v>2005</v>
      </c>
      <c r="B26">
        <v>1</v>
      </c>
      <c r="C26">
        <v>25</v>
      </c>
      <c r="D26">
        <v>25</v>
      </c>
      <c r="E26" t="s">
        <v>75</v>
      </c>
      <c r="F26" t="s">
        <v>900</v>
      </c>
      <c r="G26" t="s">
        <v>8</v>
      </c>
      <c r="H26">
        <v>12.5</v>
      </c>
      <c r="N26">
        <v>290</v>
      </c>
      <c r="O26">
        <v>93</v>
      </c>
      <c r="P26">
        <v>106</v>
      </c>
      <c r="Q26">
        <v>4.09</v>
      </c>
      <c r="R26">
        <v>1.32</v>
      </c>
      <c r="S26">
        <v>1</v>
      </c>
      <c r="T26" t="s">
        <v>34</v>
      </c>
      <c r="U26">
        <f t="shared" si="0"/>
        <v>0</v>
      </c>
      <c r="V26" t="str">
        <f t="shared" si="1"/>
        <v>MLB</v>
      </c>
      <c r="W26" t="s">
        <v>1288</v>
      </c>
    </row>
    <row r="27" spans="1:23">
      <c r="A27">
        <v>2005</v>
      </c>
      <c r="B27">
        <v>1</v>
      </c>
      <c r="C27">
        <v>26</v>
      </c>
      <c r="D27">
        <v>26</v>
      </c>
      <c r="E27" t="s">
        <v>901</v>
      </c>
      <c r="F27" t="s">
        <v>902</v>
      </c>
      <c r="G27" t="s">
        <v>8</v>
      </c>
      <c r="H27">
        <v>-1.9</v>
      </c>
      <c r="N27">
        <v>95</v>
      </c>
      <c r="O27">
        <v>4</v>
      </c>
      <c r="P27">
        <v>9</v>
      </c>
      <c r="Q27">
        <v>6.34</v>
      </c>
      <c r="R27">
        <v>1.72</v>
      </c>
      <c r="S27">
        <v>3</v>
      </c>
      <c r="T27" t="s">
        <v>34</v>
      </c>
      <c r="U27">
        <f t="shared" si="0"/>
        <v>0</v>
      </c>
      <c r="V27" t="str">
        <f t="shared" si="1"/>
        <v>MLB</v>
      </c>
      <c r="W27" t="s">
        <v>1289</v>
      </c>
    </row>
    <row r="28" spans="1:23">
      <c r="A28">
        <v>2005</v>
      </c>
      <c r="B28">
        <v>1</v>
      </c>
      <c r="C28">
        <v>27</v>
      </c>
      <c r="D28">
        <v>27</v>
      </c>
      <c r="E28" t="s">
        <v>81</v>
      </c>
      <c r="F28" t="s">
        <v>903</v>
      </c>
      <c r="G28" t="s">
        <v>8</v>
      </c>
      <c r="H28">
        <v>2</v>
      </c>
      <c r="N28">
        <v>93</v>
      </c>
      <c r="O28">
        <v>8</v>
      </c>
      <c r="P28">
        <v>3</v>
      </c>
      <c r="Q28">
        <v>2.75</v>
      </c>
      <c r="R28">
        <v>1.25</v>
      </c>
      <c r="S28">
        <v>1</v>
      </c>
      <c r="T28" t="s">
        <v>34</v>
      </c>
      <c r="U28">
        <f t="shared" si="0"/>
        <v>0</v>
      </c>
      <c r="V28" t="str">
        <f t="shared" si="1"/>
        <v>MLB</v>
      </c>
      <c r="W28" t="s">
        <v>1290</v>
      </c>
    </row>
    <row r="29" spans="1:23">
      <c r="A29">
        <v>2005</v>
      </c>
      <c r="B29">
        <v>1</v>
      </c>
      <c r="C29">
        <v>28</v>
      </c>
      <c r="D29">
        <v>28</v>
      </c>
      <c r="E29" t="s">
        <v>904</v>
      </c>
      <c r="F29" t="s">
        <v>905</v>
      </c>
      <c r="G29" t="s">
        <v>2</v>
      </c>
      <c r="H29">
        <v>20.399999999999999</v>
      </c>
      <c r="I29">
        <v>1092</v>
      </c>
      <c r="J29">
        <v>3704</v>
      </c>
      <c r="K29">
        <v>166</v>
      </c>
      <c r="L29">
        <v>0.24099999999999999</v>
      </c>
      <c r="M29">
        <v>0.745</v>
      </c>
      <c r="T29" t="s">
        <v>52</v>
      </c>
      <c r="U29">
        <f t="shared" si="0"/>
        <v>1</v>
      </c>
      <c r="V29" t="str">
        <f t="shared" si="1"/>
        <v>MLB</v>
      </c>
      <c r="W29" t="s">
        <v>1291</v>
      </c>
    </row>
    <row r="30" spans="1:23">
      <c r="A30">
        <v>2005</v>
      </c>
      <c r="B30">
        <v>1</v>
      </c>
      <c r="C30">
        <v>29</v>
      </c>
      <c r="D30">
        <v>29</v>
      </c>
      <c r="E30" t="s">
        <v>906</v>
      </c>
      <c r="F30" t="s">
        <v>907</v>
      </c>
      <c r="G30" t="s">
        <v>8</v>
      </c>
      <c r="T30" t="s">
        <v>34</v>
      </c>
      <c r="U30">
        <f t="shared" si="0"/>
        <v>0</v>
      </c>
      <c r="V30" t="s">
        <v>13</v>
      </c>
      <c r="W30">
        <v>-9999</v>
      </c>
    </row>
    <row r="31" spans="1:23">
      <c r="A31">
        <v>2005</v>
      </c>
      <c r="B31">
        <v>1</v>
      </c>
      <c r="C31">
        <v>30</v>
      </c>
      <c r="D31">
        <v>30</v>
      </c>
      <c r="E31" t="s">
        <v>46</v>
      </c>
      <c r="F31" t="s">
        <v>908</v>
      </c>
      <c r="G31" t="s">
        <v>5</v>
      </c>
      <c r="H31">
        <v>-0.4</v>
      </c>
      <c r="I31">
        <v>288</v>
      </c>
      <c r="J31">
        <v>675</v>
      </c>
      <c r="K31">
        <v>17</v>
      </c>
      <c r="L31">
        <v>0.224</v>
      </c>
      <c r="M31">
        <v>0.64500000000000002</v>
      </c>
      <c r="T31" t="s">
        <v>34</v>
      </c>
      <c r="U31">
        <f t="shared" si="0"/>
        <v>0</v>
      </c>
      <c r="V31" t="str">
        <f t="shared" si="1"/>
        <v>MLB</v>
      </c>
      <c r="W31" t="s">
        <v>1292</v>
      </c>
    </row>
    <row r="32" spans="1:23">
      <c r="A32">
        <v>2005</v>
      </c>
      <c r="B32" t="s">
        <v>537</v>
      </c>
      <c r="C32">
        <v>31</v>
      </c>
      <c r="D32">
        <v>31</v>
      </c>
      <c r="E32" t="s">
        <v>91</v>
      </c>
      <c r="F32" t="s">
        <v>909</v>
      </c>
      <c r="G32" t="s">
        <v>8</v>
      </c>
      <c r="T32" t="s">
        <v>34</v>
      </c>
      <c r="U32">
        <f t="shared" si="0"/>
        <v>0</v>
      </c>
      <c r="V32" t="s">
        <v>12</v>
      </c>
      <c r="W32">
        <v>-9999</v>
      </c>
    </row>
    <row r="33" spans="1:23">
      <c r="A33">
        <v>2005</v>
      </c>
      <c r="B33" t="s">
        <v>537</v>
      </c>
      <c r="C33">
        <v>32</v>
      </c>
      <c r="D33">
        <v>32</v>
      </c>
      <c r="E33" t="s">
        <v>37</v>
      </c>
      <c r="F33" t="s">
        <v>910</v>
      </c>
      <c r="G33" t="s">
        <v>8</v>
      </c>
      <c r="H33">
        <v>1.2</v>
      </c>
      <c r="N33">
        <v>245</v>
      </c>
      <c r="O33">
        <v>11</v>
      </c>
      <c r="P33">
        <v>8</v>
      </c>
      <c r="Q33">
        <v>3.89</v>
      </c>
      <c r="R33">
        <v>1.34</v>
      </c>
      <c r="S33">
        <v>3</v>
      </c>
      <c r="T33" t="s">
        <v>52</v>
      </c>
      <c r="U33">
        <f t="shared" si="0"/>
        <v>1</v>
      </c>
      <c r="V33" t="str">
        <f t="shared" si="1"/>
        <v>MLB</v>
      </c>
      <c r="W33" t="s">
        <v>1293</v>
      </c>
    </row>
    <row r="34" spans="1:23">
      <c r="A34">
        <v>2005</v>
      </c>
      <c r="B34" t="s">
        <v>537</v>
      </c>
      <c r="C34">
        <v>33</v>
      </c>
      <c r="D34">
        <v>33</v>
      </c>
      <c r="E34" t="s">
        <v>206</v>
      </c>
      <c r="F34" t="s">
        <v>911</v>
      </c>
      <c r="G34" t="s">
        <v>2</v>
      </c>
      <c r="T34" t="s">
        <v>52</v>
      </c>
      <c r="U34">
        <f t="shared" si="0"/>
        <v>1</v>
      </c>
      <c r="V34" t="s">
        <v>13</v>
      </c>
      <c r="W34">
        <v>-9999</v>
      </c>
    </row>
    <row r="35" spans="1:23">
      <c r="A35">
        <v>2005</v>
      </c>
      <c r="B35" t="s">
        <v>537</v>
      </c>
      <c r="C35">
        <v>34</v>
      </c>
      <c r="D35">
        <v>34</v>
      </c>
      <c r="E35" t="s">
        <v>65</v>
      </c>
      <c r="F35" t="s">
        <v>912</v>
      </c>
      <c r="G35" t="s">
        <v>8</v>
      </c>
      <c r="H35">
        <v>-1.3</v>
      </c>
      <c r="N35">
        <v>18</v>
      </c>
      <c r="O35">
        <v>2</v>
      </c>
      <c r="P35">
        <v>3</v>
      </c>
      <c r="Q35">
        <v>8.14</v>
      </c>
      <c r="R35">
        <v>1.88</v>
      </c>
      <c r="S35">
        <v>0</v>
      </c>
      <c r="T35" t="s">
        <v>52</v>
      </c>
      <c r="U35">
        <f t="shared" si="0"/>
        <v>1</v>
      </c>
      <c r="V35" t="str">
        <f t="shared" si="1"/>
        <v>MLB</v>
      </c>
      <c r="W35" t="s">
        <v>1294</v>
      </c>
    </row>
    <row r="36" spans="1:23">
      <c r="A36">
        <v>2005</v>
      </c>
      <c r="B36" t="s">
        <v>537</v>
      </c>
      <c r="C36">
        <v>35</v>
      </c>
      <c r="D36">
        <v>35</v>
      </c>
      <c r="E36" t="s">
        <v>83</v>
      </c>
      <c r="F36" t="s">
        <v>913</v>
      </c>
      <c r="G36" t="s">
        <v>9</v>
      </c>
      <c r="H36">
        <v>1.4</v>
      </c>
      <c r="N36">
        <v>267</v>
      </c>
      <c r="O36">
        <v>10</v>
      </c>
      <c r="P36">
        <v>15</v>
      </c>
      <c r="Q36">
        <v>4.0199999999999996</v>
      </c>
      <c r="R36">
        <v>1.4</v>
      </c>
      <c r="S36">
        <v>2</v>
      </c>
      <c r="T36" t="s">
        <v>34</v>
      </c>
      <c r="U36">
        <f t="shared" si="0"/>
        <v>0</v>
      </c>
      <c r="V36" t="str">
        <f t="shared" si="1"/>
        <v>MLB</v>
      </c>
      <c r="W36" t="s">
        <v>1295</v>
      </c>
    </row>
    <row r="37" spans="1:23">
      <c r="A37">
        <v>2005</v>
      </c>
      <c r="B37" t="s">
        <v>537</v>
      </c>
      <c r="C37">
        <v>36</v>
      </c>
      <c r="D37">
        <v>36</v>
      </c>
      <c r="E37" t="s">
        <v>39</v>
      </c>
      <c r="F37" t="s">
        <v>914</v>
      </c>
      <c r="G37" t="s">
        <v>2</v>
      </c>
      <c r="H37">
        <v>2.8</v>
      </c>
      <c r="I37">
        <v>253</v>
      </c>
      <c r="J37">
        <v>810</v>
      </c>
      <c r="K37">
        <v>20</v>
      </c>
      <c r="L37">
        <v>0.24299999999999999</v>
      </c>
      <c r="M37">
        <v>0.71499999999999997</v>
      </c>
      <c r="T37" t="s">
        <v>34</v>
      </c>
      <c r="U37">
        <f t="shared" si="0"/>
        <v>0</v>
      </c>
      <c r="V37" t="str">
        <f t="shared" si="1"/>
        <v>MLB</v>
      </c>
      <c r="W37" t="s">
        <v>1296</v>
      </c>
    </row>
    <row r="38" spans="1:23">
      <c r="A38">
        <v>2005</v>
      </c>
      <c r="B38" t="s">
        <v>537</v>
      </c>
      <c r="C38">
        <v>37</v>
      </c>
      <c r="D38">
        <v>37</v>
      </c>
      <c r="E38" t="s">
        <v>48</v>
      </c>
      <c r="F38" t="s">
        <v>915</v>
      </c>
      <c r="G38" t="s">
        <v>8</v>
      </c>
      <c r="H38">
        <v>-1.2</v>
      </c>
      <c r="N38">
        <v>54</v>
      </c>
      <c r="O38">
        <v>4</v>
      </c>
      <c r="P38">
        <v>8</v>
      </c>
      <c r="Q38">
        <v>5.57</v>
      </c>
      <c r="R38">
        <v>1.76</v>
      </c>
      <c r="S38">
        <v>0</v>
      </c>
      <c r="T38" t="s">
        <v>52</v>
      </c>
      <c r="U38">
        <f t="shared" si="0"/>
        <v>1</v>
      </c>
      <c r="V38" t="str">
        <f t="shared" si="1"/>
        <v>MLB</v>
      </c>
      <c r="W38" t="s">
        <v>1297</v>
      </c>
    </row>
    <row r="39" spans="1:23">
      <c r="A39">
        <v>2005</v>
      </c>
      <c r="B39" t="s">
        <v>537</v>
      </c>
      <c r="C39">
        <v>38</v>
      </c>
      <c r="D39">
        <v>38</v>
      </c>
      <c r="E39" t="s">
        <v>89</v>
      </c>
      <c r="F39" t="s">
        <v>916</v>
      </c>
      <c r="G39" t="s">
        <v>2</v>
      </c>
      <c r="T39" t="s">
        <v>34</v>
      </c>
      <c r="U39">
        <f t="shared" si="0"/>
        <v>0</v>
      </c>
      <c r="V39" t="s">
        <v>12</v>
      </c>
      <c r="W39">
        <v>-9999</v>
      </c>
    </row>
    <row r="40" spans="1:23">
      <c r="A40">
        <v>2005</v>
      </c>
      <c r="B40" t="s">
        <v>537</v>
      </c>
      <c r="C40">
        <v>39</v>
      </c>
      <c r="D40">
        <v>39</v>
      </c>
      <c r="E40" t="s">
        <v>75</v>
      </c>
      <c r="F40" t="s">
        <v>917</v>
      </c>
      <c r="G40" t="s">
        <v>3</v>
      </c>
      <c r="T40" t="s">
        <v>52</v>
      </c>
      <c r="U40">
        <f t="shared" si="0"/>
        <v>1</v>
      </c>
      <c r="V40" t="s">
        <v>1114</v>
      </c>
      <c r="W40">
        <v>-9999</v>
      </c>
    </row>
    <row r="41" spans="1:23">
      <c r="A41">
        <v>2005</v>
      </c>
      <c r="B41" t="s">
        <v>537</v>
      </c>
      <c r="C41">
        <v>40</v>
      </c>
      <c r="D41">
        <v>40</v>
      </c>
      <c r="E41" t="s">
        <v>79</v>
      </c>
      <c r="F41" t="s">
        <v>918</v>
      </c>
      <c r="G41" t="s">
        <v>8</v>
      </c>
      <c r="H41">
        <v>3.7</v>
      </c>
      <c r="N41">
        <v>279</v>
      </c>
      <c r="O41">
        <v>46</v>
      </c>
      <c r="P41">
        <v>65</v>
      </c>
      <c r="Q41">
        <v>4.9800000000000004</v>
      </c>
      <c r="R41">
        <v>1.34</v>
      </c>
      <c r="S41">
        <v>3</v>
      </c>
      <c r="T41" t="s">
        <v>34</v>
      </c>
      <c r="U41">
        <f t="shared" si="0"/>
        <v>0</v>
      </c>
      <c r="V41" t="str">
        <f t="shared" si="1"/>
        <v>MLB</v>
      </c>
      <c r="W41" t="s">
        <v>1298</v>
      </c>
    </row>
    <row r="42" spans="1:23">
      <c r="A42">
        <v>2005</v>
      </c>
      <c r="B42" t="s">
        <v>537</v>
      </c>
      <c r="C42">
        <v>41</v>
      </c>
      <c r="D42">
        <v>41</v>
      </c>
      <c r="E42" t="s">
        <v>81</v>
      </c>
      <c r="F42" t="s">
        <v>919</v>
      </c>
      <c r="G42" t="s">
        <v>9</v>
      </c>
      <c r="T42" t="s">
        <v>52</v>
      </c>
      <c r="U42">
        <f t="shared" si="0"/>
        <v>1</v>
      </c>
      <c r="V42" t="s">
        <v>12</v>
      </c>
      <c r="W42">
        <v>-9999</v>
      </c>
    </row>
    <row r="43" spans="1:23">
      <c r="A43">
        <v>2005</v>
      </c>
      <c r="B43" t="s">
        <v>537</v>
      </c>
      <c r="C43">
        <v>42</v>
      </c>
      <c r="D43">
        <v>42</v>
      </c>
      <c r="E43" t="s">
        <v>57</v>
      </c>
      <c r="F43" t="s">
        <v>920</v>
      </c>
      <c r="G43" t="s">
        <v>8</v>
      </c>
      <c r="H43">
        <v>16.8</v>
      </c>
      <c r="N43">
        <v>236</v>
      </c>
      <c r="O43">
        <v>90</v>
      </c>
      <c r="P43">
        <v>69</v>
      </c>
      <c r="Q43">
        <v>3.98</v>
      </c>
      <c r="R43">
        <v>1.3</v>
      </c>
      <c r="S43">
        <v>0</v>
      </c>
      <c r="T43" t="s">
        <v>163</v>
      </c>
      <c r="U43">
        <f t="shared" si="0"/>
        <v>0</v>
      </c>
      <c r="V43" t="str">
        <f t="shared" si="1"/>
        <v>MLB</v>
      </c>
      <c r="W43" t="s">
        <v>1299</v>
      </c>
    </row>
    <row r="44" spans="1:23">
      <c r="A44">
        <v>2005</v>
      </c>
      <c r="B44" t="s">
        <v>537</v>
      </c>
      <c r="C44">
        <v>43</v>
      </c>
      <c r="D44">
        <v>43</v>
      </c>
      <c r="E44" t="s">
        <v>46</v>
      </c>
      <c r="F44" t="s">
        <v>921</v>
      </c>
      <c r="G44" t="s">
        <v>8</v>
      </c>
      <c r="T44" t="s">
        <v>34</v>
      </c>
      <c r="U44">
        <f t="shared" si="0"/>
        <v>0</v>
      </c>
      <c r="V44" t="s">
        <v>13</v>
      </c>
      <c r="W44">
        <v>-9999</v>
      </c>
    </row>
    <row r="45" spans="1:23">
      <c r="A45">
        <v>2005</v>
      </c>
      <c r="B45" t="s">
        <v>537</v>
      </c>
      <c r="C45">
        <v>44</v>
      </c>
      <c r="D45">
        <v>44</v>
      </c>
      <c r="E45" t="s">
        <v>65</v>
      </c>
      <c r="F45" t="s">
        <v>922</v>
      </c>
      <c r="G45" t="s">
        <v>9</v>
      </c>
      <c r="H45">
        <v>-0.1</v>
      </c>
      <c r="N45">
        <v>22</v>
      </c>
      <c r="O45">
        <v>8</v>
      </c>
      <c r="P45">
        <v>8</v>
      </c>
      <c r="Q45">
        <v>5.03</v>
      </c>
      <c r="R45">
        <v>1.58</v>
      </c>
      <c r="S45">
        <v>0</v>
      </c>
      <c r="T45" t="s">
        <v>52</v>
      </c>
      <c r="U45">
        <f t="shared" si="0"/>
        <v>1</v>
      </c>
      <c r="V45" t="str">
        <f t="shared" si="1"/>
        <v>MLB</v>
      </c>
      <c r="W45" t="s">
        <v>1300</v>
      </c>
    </row>
    <row r="46" spans="1:23">
      <c r="A46">
        <v>2005</v>
      </c>
      <c r="B46" t="s">
        <v>537</v>
      </c>
      <c r="C46">
        <v>45</v>
      </c>
      <c r="D46">
        <v>45</v>
      </c>
      <c r="E46" t="s">
        <v>57</v>
      </c>
      <c r="F46" t="s">
        <v>923</v>
      </c>
      <c r="G46" t="s">
        <v>0</v>
      </c>
      <c r="H46">
        <v>15.4</v>
      </c>
      <c r="I46">
        <v>1307</v>
      </c>
      <c r="J46">
        <v>4615</v>
      </c>
      <c r="K46">
        <v>121</v>
      </c>
      <c r="L46">
        <v>0.25700000000000001</v>
      </c>
      <c r="M46">
        <v>0.73599999999999999</v>
      </c>
      <c r="T46" t="s">
        <v>34</v>
      </c>
      <c r="U46">
        <f t="shared" si="0"/>
        <v>0</v>
      </c>
      <c r="V46" t="str">
        <f t="shared" si="1"/>
        <v>MLB</v>
      </c>
      <c r="W46" t="s">
        <v>1301</v>
      </c>
    </row>
    <row r="47" spans="1:23">
      <c r="A47">
        <v>2005</v>
      </c>
      <c r="B47" t="s">
        <v>537</v>
      </c>
      <c r="C47">
        <v>46</v>
      </c>
      <c r="D47">
        <v>46</v>
      </c>
      <c r="E47" t="s">
        <v>46</v>
      </c>
      <c r="F47" t="s">
        <v>924</v>
      </c>
      <c r="G47" t="s">
        <v>8</v>
      </c>
      <c r="T47" t="s">
        <v>52</v>
      </c>
      <c r="U47">
        <f t="shared" si="0"/>
        <v>1</v>
      </c>
      <c r="V47" t="s">
        <v>12</v>
      </c>
      <c r="W47">
        <v>-9999</v>
      </c>
    </row>
    <row r="48" spans="1:23">
      <c r="A48">
        <v>2005</v>
      </c>
      <c r="B48" t="s">
        <v>537</v>
      </c>
      <c r="C48">
        <v>47</v>
      </c>
      <c r="D48">
        <v>47</v>
      </c>
      <c r="E48" t="s">
        <v>57</v>
      </c>
      <c r="F48" t="s">
        <v>925</v>
      </c>
      <c r="G48" t="s">
        <v>8</v>
      </c>
      <c r="H48">
        <v>0.8</v>
      </c>
      <c r="N48">
        <v>103</v>
      </c>
      <c r="O48">
        <v>3</v>
      </c>
      <c r="P48">
        <v>5</v>
      </c>
      <c r="Q48">
        <v>4.51</v>
      </c>
      <c r="R48">
        <v>1.4</v>
      </c>
      <c r="S48">
        <v>0</v>
      </c>
      <c r="T48" t="s">
        <v>52</v>
      </c>
      <c r="U48">
        <f t="shared" si="0"/>
        <v>1</v>
      </c>
      <c r="V48" t="str">
        <f t="shared" si="1"/>
        <v>MLB</v>
      </c>
      <c r="W48" t="s">
        <v>1302</v>
      </c>
    </row>
    <row r="49" spans="1:23">
      <c r="A49">
        <v>2005</v>
      </c>
      <c r="B49" t="s">
        <v>537</v>
      </c>
      <c r="C49">
        <v>48</v>
      </c>
      <c r="D49">
        <v>48</v>
      </c>
      <c r="E49" t="s">
        <v>77</v>
      </c>
      <c r="F49" t="s">
        <v>926</v>
      </c>
      <c r="G49" t="s">
        <v>9</v>
      </c>
      <c r="H49">
        <v>-2.7</v>
      </c>
      <c r="N49">
        <v>104</v>
      </c>
      <c r="O49">
        <v>14</v>
      </c>
      <c r="P49">
        <v>22</v>
      </c>
      <c r="Q49">
        <v>6.26</v>
      </c>
      <c r="R49">
        <v>1.67</v>
      </c>
      <c r="S49">
        <v>1</v>
      </c>
      <c r="T49" t="s">
        <v>34</v>
      </c>
      <c r="U49">
        <f t="shared" si="0"/>
        <v>0</v>
      </c>
      <c r="V49" t="str">
        <f t="shared" si="1"/>
        <v>MLB</v>
      </c>
      <c r="W49" t="s">
        <v>1303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A439-E484-40F3-90EA-54709277767D}">
  <dimension ref="A1:W45"/>
  <sheetViews>
    <sheetView topLeftCell="A40" workbookViewId="0">
      <selection activeCell="X2" sqref="X2"/>
    </sheetView>
  </sheetViews>
  <sheetFormatPr defaultRowHeight="14.5"/>
  <cols>
    <col min="1" max="1" width="4.81640625" bestFit="1" customWidth="1"/>
    <col min="2" max="2" width="3.90625" bestFit="1" customWidth="1"/>
    <col min="3" max="3" width="6" bestFit="1" customWidth="1"/>
    <col min="4" max="4" width="5.90625" bestFit="1" customWidth="1"/>
    <col min="5" max="5" width="18.90625" bestFit="1" customWidth="1"/>
    <col min="6" max="6" width="23.81640625" bestFit="1" customWidth="1"/>
    <col min="7" max="7" width="4.26953125" bestFit="1" customWidth="1"/>
    <col min="8" max="10" width="4.81640625" bestFit="1" customWidth="1"/>
    <col min="11" max="11" width="3.81640625" bestFit="1" customWidth="1"/>
    <col min="12" max="13" width="5.81640625" bestFit="1" customWidth="1"/>
    <col min="14" max="16" width="3.81640625" bestFit="1" customWidth="1"/>
    <col min="17" max="17" width="4.81640625" bestFit="1" customWidth="1"/>
    <col min="18" max="18" width="5.26953125" bestFit="1" customWidth="1"/>
    <col min="19" max="19" width="3.81640625" bestFit="1" customWidth="1"/>
    <col min="20" max="20" width="4.54296875" bestFit="1" customWidth="1"/>
    <col min="21" max="21" width="4" bestFit="1" customWidth="1"/>
    <col min="23" max="23" width="10" bestFit="1" customWidth="1"/>
  </cols>
  <sheetData>
    <row r="1" spans="1:23">
      <c r="A1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>
        <v>2006</v>
      </c>
      <c r="B2">
        <v>1</v>
      </c>
      <c r="C2">
        <v>1</v>
      </c>
      <c r="D2">
        <v>1</v>
      </c>
      <c r="E2" t="s">
        <v>43</v>
      </c>
      <c r="F2" t="s">
        <v>824</v>
      </c>
      <c r="G2" t="s">
        <v>8</v>
      </c>
      <c r="H2">
        <v>3.7</v>
      </c>
      <c r="N2">
        <v>279</v>
      </c>
      <c r="O2">
        <v>46</v>
      </c>
      <c r="P2">
        <v>65</v>
      </c>
      <c r="Q2">
        <v>4.9800000000000004</v>
      </c>
      <c r="R2">
        <v>1.34</v>
      </c>
      <c r="S2">
        <v>3</v>
      </c>
      <c r="U2">
        <f>IF(ISNUMBER(SEARCH("HS",T2)),1,0)</f>
        <v>0</v>
      </c>
      <c r="V2" t="str">
        <f>IF(ISNUMBER(H2),"MLB","")</f>
        <v>MLB</v>
      </c>
      <c r="W2" t="s">
        <v>1298</v>
      </c>
    </row>
    <row r="3" spans="1:23">
      <c r="A3">
        <v>2006</v>
      </c>
      <c r="B3">
        <v>1</v>
      </c>
      <c r="C3">
        <v>2</v>
      </c>
      <c r="D3">
        <v>2</v>
      </c>
      <c r="E3" t="s">
        <v>37</v>
      </c>
      <c r="F3" t="s">
        <v>825</v>
      </c>
      <c r="G3" t="s">
        <v>8</v>
      </c>
      <c r="H3">
        <v>-1.5</v>
      </c>
      <c r="N3">
        <v>33</v>
      </c>
      <c r="O3">
        <v>6</v>
      </c>
      <c r="P3">
        <v>11</v>
      </c>
      <c r="Q3">
        <v>7.01</v>
      </c>
      <c r="R3">
        <v>1.65</v>
      </c>
      <c r="S3">
        <v>0</v>
      </c>
      <c r="T3" t="s">
        <v>34</v>
      </c>
      <c r="U3">
        <f t="shared" ref="U3:U45" si="0">IF(ISNUMBER(SEARCH("HS",T3)),1,0)</f>
        <v>0</v>
      </c>
      <c r="V3" t="str">
        <f t="shared" ref="V3:V43" si="1">IF(ISNUMBER(H3),"MLB","")</f>
        <v>MLB</v>
      </c>
      <c r="W3" t="s">
        <v>1304</v>
      </c>
    </row>
    <row r="4" spans="1:23">
      <c r="A4">
        <v>2006</v>
      </c>
      <c r="B4">
        <v>1</v>
      </c>
      <c r="C4">
        <v>3</v>
      </c>
      <c r="D4">
        <v>3</v>
      </c>
      <c r="E4" t="s">
        <v>768</v>
      </c>
      <c r="F4" t="s">
        <v>826</v>
      </c>
      <c r="G4" t="s">
        <v>11</v>
      </c>
      <c r="H4">
        <v>58.9</v>
      </c>
      <c r="I4">
        <v>1986</v>
      </c>
      <c r="J4">
        <v>7306</v>
      </c>
      <c r="K4">
        <v>342</v>
      </c>
      <c r="L4">
        <v>0.26400000000000001</v>
      </c>
      <c r="M4">
        <v>0.80400000000000005</v>
      </c>
      <c r="T4" t="s">
        <v>34</v>
      </c>
      <c r="U4">
        <f t="shared" si="0"/>
        <v>0</v>
      </c>
      <c r="V4" t="str">
        <f t="shared" si="1"/>
        <v>MLB</v>
      </c>
      <c r="W4" t="s">
        <v>1305</v>
      </c>
    </row>
    <row r="5" spans="1:23">
      <c r="A5">
        <v>2006</v>
      </c>
      <c r="B5">
        <v>1</v>
      </c>
      <c r="C5">
        <v>4</v>
      </c>
      <c r="D5">
        <v>4</v>
      </c>
      <c r="E5" t="s">
        <v>50</v>
      </c>
      <c r="F5" t="s">
        <v>827</v>
      </c>
      <c r="G5" t="s">
        <v>8</v>
      </c>
      <c r="H5">
        <v>0.4</v>
      </c>
      <c r="N5">
        <v>99</v>
      </c>
      <c r="O5">
        <v>9</v>
      </c>
      <c r="P5">
        <v>11</v>
      </c>
      <c r="Q5">
        <v>4.74</v>
      </c>
      <c r="R5">
        <v>1.39</v>
      </c>
      <c r="S5">
        <v>1</v>
      </c>
      <c r="T5" t="s">
        <v>34</v>
      </c>
      <c r="U5">
        <f t="shared" si="0"/>
        <v>0</v>
      </c>
      <c r="V5" t="str">
        <f t="shared" si="1"/>
        <v>MLB</v>
      </c>
      <c r="W5" t="s">
        <v>1306</v>
      </c>
    </row>
    <row r="6" spans="1:23">
      <c r="A6">
        <v>2006</v>
      </c>
      <c r="B6">
        <v>1</v>
      </c>
      <c r="C6">
        <v>5</v>
      </c>
      <c r="D6">
        <v>5</v>
      </c>
      <c r="E6" t="s">
        <v>63</v>
      </c>
      <c r="F6" t="s">
        <v>828</v>
      </c>
      <c r="G6" t="s">
        <v>8</v>
      </c>
      <c r="H6">
        <v>11.1</v>
      </c>
      <c r="N6">
        <v>334</v>
      </c>
      <c r="O6">
        <v>51</v>
      </c>
      <c r="P6">
        <v>43</v>
      </c>
      <c r="Q6">
        <v>3.96</v>
      </c>
      <c r="R6">
        <v>1.31</v>
      </c>
      <c r="S6">
        <v>40</v>
      </c>
      <c r="T6" t="s">
        <v>34</v>
      </c>
      <c r="U6">
        <f t="shared" si="0"/>
        <v>0</v>
      </c>
      <c r="V6" t="str">
        <f t="shared" si="1"/>
        <v>MLB</v>
      </c>
      <c r="W6" t="s">
        <v>1307</v>
      </c>
    </row>
    <row r="7" spans="1:23">
      <c r="A7">
        <v>2006</v>
      </c>
      <c r="B7">
        <v>1</v>
      </c>
      <c r="C7">
        <v>6</v>
      </c>
      <c r="D7">
        <v>6</v>
      </c>
      <c r="E7" t="s">
        <v>55</v>
      </c>
      <c r="F7" t="s">
        <v>829</v>
      </c>
      <c r="G7" t="s">
        <v>9</v>
      </c>
      <c r="H7">
        <v>7.7</v>
      </c>
      <c r="N7">
        <v>612</v>
      </c>
      <c r="O7">
        <v>55</v>
      </c>
      <c r="P7">
        <v>55</v>
      </c>
      <c r="Q7">
        <v>4.03</v>
      </c>
      <c r="R7">
        <v>1.34</v>
      </c>
      <c r="S7">
        <v>63</v>
      </c>
      <c r="T7" t="s">
        <v>34</v>
      </c>
      <c r="U7">
        <f t="shared" si="0"/>
        <v>0</v>
      </c>
      <c r="V7" t="str">
        <f t="shared" si="1"/>
        <v>MLB</v>
      </c>
      <c r="W7" t="s">
        <v>1308</v>
      </c>
    </row>
    <row r="8" spans="1:23">
      <c r="A8">
        <v>2006</v>
      </c>
      <c r="B8">
        <v>1</v>
      </c>
      <c r="C8">
        <v>7</v>
      </c>
      <c r="D8">
        <v>7</v>
      </c>
      <c r="E8" t="s">
        <v>79</v>
      </c>
      <c r="F8" t="s">
        <v>830</v>
      </c>
      <c r="G8" t="s">
        <v>9</v>
      </c>
      <c r="H8">
        <v>80.900000000000006</v>
      </c>
      <c r="N8">
        <v>455</v>
      </c>
      <c r="O8">
        <v>223</v>
      </c>
      <c r="P8">
        <v>96</v>
      </c>
      <c r="Q8">
        <v>2.5299999999999998</v>
      </c>
      <c r="R8">
        <v>1.02</v>
      </c>
      <c r="S8">
        <v>0</v>
      </c>
      <c r="T8" t="s">
        <v>52</v>
      </c>
      <c r="U8">
        <f t="shared" si="0"/>
        <v>1</v>
      </c>
      <c r="V8" t="str">
        <f t="shared" si="1"/>
        <v>MLB</v>
      </c>
      <c r="W8" t="s">
        <v>1309</v>
      </c>
    </row>
    <row r="9" spans="1:23">
      <c r="A9">
        <v>2006</v>
      </c>
      <c r="B9">
        <v>1</v>
      </c>
      <c r="C9">
        <v>8</v>
      </c>
      <c r="D9">
        <v>8</v>
      </c>
      <c r="E9" t="s">
        <v>35</v>
      </c>
      <c r="F9" t="s">
        <v>831</v>
      </c>
      <c r="G9" t="s">
        <v>2</v>
      </c>
      <c r="H9">
        <v>8</v>
      </c>
      <c r="I9">
        <v>911</v>
      </c>
      <c r="J9">
        <v>2834</v>
      </c>
      <c r="K9">
        <v>92</v>
      </c>
      <c r="L9">
        <v>0.24199999999999999</v>
      </c>
      <c r="M9">
        <v>0.70399999999999996</v>
      </c>
      <c r="T9" t="s">
        <v>34</v>
      </c>
      <c r="U9">
        <f t="shared" si="0"/>
        <v>0</v>
      </c>
      <c r="V9" t="str">
        <f t="shared" si="1"/>
        <v>MLB</v>
      </c>
      <c r="W9" t="s">
        <v>1310</v>
      </c>
    </row>
    <row r="10" spans="1:23">
      <c r="A10">
        <v>2006</v>
      </c>
      <c r="B10">
        <v>1</v>
      </c>
      <c r="C10">
        <v>9</v>
      </c>
      <c r="D10">
        <v>9</v>
      </c>
      <c r="E10" t="s">
        <v>77</v>
      </c>
      <c r="F10" t="s">
        <v>832</v>
      </c>
      <c r="G10" t="s">
        <v>11</v>
      </c>
      <c r="T10" t="s">
        <v>52</v>
      </c>
      <c r="U10">
        <f t="shared" si="0"/>
        <v>1</v>
      </c>
      <c r="V10" t="s">
        <v>13</v>
      </c>
      <c r="W10">
        <v>-9999</v>
      </c>
    </row>
    <row r="11" spans="1:23">
      <c r="A11">
        <v>2006</v>
      </c>
      <c r="B11">
        <v>1</v>
      </c>
      <c r="C11">
        <v>10</v>
      </c>
      <c r="D11">
        <v>10</v>
      </c>
      <c r="E11" t="s">
        <v>59</v>
      </c>
      <c r="F11" t="s">
        <v>833</v>
      </c>
      <c r="G11" t="s">
        <v>8</v>
      </c>
      <c r="H11">
        <v>19.5</v>
      </c>
      <c r="N11">
        <v>278</v>
      </c>
      <c r="O11">
        <v>110</v>
      </c>
      <c r="P11">
        <v>89</v>
      </c>
      <c r="Q11">
        <v>3.74</v>
      </c>
      <c r="R11">
        <v>1.29</v>
      </c>
      <c r="S11">
        <v>1</v>
      </c>
      <c r="T11" t="s">
        <v>34</v>
      </c>
      <c r="U11">
        <f t="shared" si="0"/>
        <v>0</v>
      </c>
      <c r="V11" t="str">
        <f t="shared" si="1"/>
        <v>MLB</v>
      </c>
      <c r="W11" t="s">
        <v>1311</v>
      </c>
    </row>
    <row r="12" spans="1:23">
      <c r="A12">
        <v>2006</v>
      </c>
      <c r="B12">
        <v>1</v>
      </c>
      <c r="C12">
        <v>11</v>
      </c>
      <c r="D12">
        <v>11</v>
      </c>
      <c r="E12" t="s">
        <v>91</v>
      </c>
      <c r="F12" t="s">
        <v>834</v>
      </c>
      <c r="G12" t="s">
        <v>8</v>
      </c>
      <c r="H12">
        <v>74.8</v>
      </c>
      <c r="N12">
        <v>488</v>
      </c>
      <c r="O12">
        <v>222</v>
      </c>
      <c r="P12">
        <v>120</v>
      </c>
      <c r="Q12">
        <v>3.26</v>
      </c>
      <c r="R12">
        <v>1.0900000000000001</v>
      </c>
      <c r="S12">
        <v>0</v>
      </c>
      <c r="T12" t="s">
        <v>34</v>
      </c>
      <c r="U12">
        <f t="shared" si="0"/>
        <v>0</v>
      </c>
      <c r="V12" t="str">
        <f t="shared" si="1"/>
        <v>MLB</v>
      </c>
      <c r="W12" t="s">
        <v>1312</v>
      </c>
    </row>
    <row r="13" spans="1:23">
      <c r="A13">
        <v>2006</v>
      </c>
      <c r="B13">
        <v>1</v>
      </c>
      <c r="C13">
        <v>12</v>
      </c>
      <c r="D13">
        <v>12</v>
      </c>
      <c r="E13" t="s">
        <v>93</v>
      </c>
      <c r="F13" t="s">
        <v>835</v>
      </c>
      <c r="G13" t="s">
        <v>9</v>
      </c>
      <c r="T13" t="s">
        <v>52</v>
      </c>
      <c r="U13">
        <f t="shared" si="0"/>
        <v>1</v>
      </c>
      <c r="V13" t="s">
        <v>13</v>
      </c>
      <c r="W13">
        <v>-9999</v>
      </c>
    </row>
    <row r="14" spans="1:23">
      <c r="A14">
        <v>2006</v>
      </c>
      <c r="B14">
        <v>1</v>
      </c>
      <c r="C14">
        <v>13</v>
      </c>
      <c r="D14">
        <v>13</v>
      </c>
      <c r="E14" t="s">
        <v>61</v>
      </c>
      <c r="F14" t="s">
        <v>836</v>
      </c>
      <c r="G14" t="s">
        <v>2</v>
      </c>
      <c r="H14">
        <v>0.9</v>
      </c>
      <c r="I14">
        <v>441</v>
      </c>
      <c r="J14">
        <v>1215</v>
      </c>
      <c r="K14">
        <v>49</v>
      </c>
      <c r="L14">
        <v>0.23899999999999999</v>
      </c>
      <c r="M14">
        <v>0.73299999999999998</v>
      </c>
      <c r="T14" t="s">
        <v>34</v>
      </c>
      <c r="U14">
        <f t="shared" si="0"/>
        <v>0</v>
      </c>
      <c r="V14" t="str">
        <f t="shared" si="1"/>
        <v>MLB</v>
      </c>
      <c r="W14" t="s">
        <v>1313</v>
      </c>
    </row>
    <row r="15" spans="1:23">
      <c r="A15">
        <v>2006</v>
      </c>
      <c r="B15">
        <v>1</v>
      </c>
      <c r="C15">
        <v>14</v>
      </c>
      <c r="D15">
        <v>14</v>
      </c>
      <c r="E15" t="s">
        <v>73</v>
      </c>
      <c r="F15" t="s">
        <v>837</v>
      </c>
      <c r="G15" t="s">
        <v>2</v>
      </c>
      <c r="H15">
        <v>4.4000000000000004</v>
      </c>
      <c r="I15">
        <v>630</v>
      </c>
      <c r="J15">
        <v>1783</v>
      </c>
      <c r="K15">
        <v>54</v>
      </c>
      <c r="L15">
        <v>0.24399999999999999</v>
      </c>
      <c r="M15">
        <v>0.70899999999999996</v>
      </c>
      <c r="T15" t="s">
        <v>52</v>
      </c>
      <c r="U15">
        <f t="shared" si="0"/>
        <v>1</v>
      </c>
      <c r="V15" t="str">
        <f t="shared" si="1"/>
        <v>MLB</v>
      </c>
      <c r="W15" t="s">
        <v>1314</v>
      </c>
    </row>
    <row r="16" spans="1:23">
      <c r="A16">
        <v>2006</v>
      </c>
      <c r="B16">
        <v>1</v>
      </c>
      <c r="C16">
        <v>15</v>
      </c>
      <c r="D16">
        <v>15</v>
      </c>
      <c r="E16" t="s">
        <v>53</v>
      </c>
      <c r="F16" t="s">
        <v>838</v>
      </c>
      <c r="G16" t="s">
        <v>2</v>
      </c>
      <c r="H16">
        <v>-1.5</v>
      </c>
      <c r="I16">
        <v>54</v>
      </c>
      <c r="J16">
        <v>163</v>
      </c>
      <c r="K16">
        <v>1</v>
      </c>
      <c r="L16">
        <v>0.20899999999999999</v>
      </c>
      <c r="M16">
        <v>0.49299999999999999</v>
      </c>
      <c r="T16" t="s">
        <v>52</v>
      </c>
      <c r="U16">
        <f t="shared" si="0"/>
        <v>1</v>
      </c>
      <c r="V16" t="str">
        <f t="shared" si="1"/>
        <v>MLB</v>
      </c>
      <c r="W16" t="s">
        <v>1315</v>
      </c>
    </row>
    <row r="17" spans="1:23">
      <c r="A17">
        <v>2006</v>
      </c>
      <c r="B17">
        <v>1</v>
      </c>
      <c r="C17">
        <v>16</v>
      </c>
      <c r="D17">
        <v>16</v>
      </c>
      <c r="E17" t="s">
        <v>67</v>
      </c>
      <c r="F17" t="s">
        <v>839</v>
      </c>
      <c r="G17" t="s">
        <v>8</v>
      </c>
      <c r="H17">
        <v>8.6999999999999993</v>
      </c>
      <c r="N17">
        <v>414</v>
      </c>
      <c r="O17">
        <v>32</v>
      </c>
      <c r="P17">
        <v>12</v>
      </c>
      <c r="Q17">
        <v>3.08</v>
      </c>
      <c r="R17">
        <v>1.32</v>
      </c>
      <c r="S17">
        <v>52</v>
      </c>
      <c r="T17" t="s">
        <v>52</v>
      </c>
      <c r="U17">
        <f t="shared" si="0"/>
        <v>1</v>
      </c>
      <c r="V17" t="str">
        <f t="shared" si="1"/>
        <v>MLB</v>
      </c>
      <c r="W17" t="s">
        <v>1316</v>
      </c>
    </row>
    <row r="18" spans="1:23">
      <c r="A18">
        <v>2006</v>
      </c>
      <c r="B18">
        <v>1</v>
      </c>
      <c r="C18">
        <v>17</v>
      </c>
      <c r="D18">
        <v>17</v>
      </c>
      <c r="E18" t="s">
        <v>83</v>
      </c>
      <c r="F18" t="s">
        <v>840</v>
      </c>
      <c r="G18" t="s">
        <v>11</v>
      </c>
      <c r="H18">
        <v>-0.3</v>
      </c>
      <c r="I18">
        <v>21</v>
      </c>
      <c r="J18">
        <v>57</v>
      </c>
      <c r="K18">
        <v>1</v>
      </c>
      <c r="L18">
        <v>0.193</v>
      </c>
      <c r="M18">
        <v>0.57299999999999995</v>
      </c>
      <c r="T18" t="s">
        <v>34</v>
      </c>
      <c r="U18">
        <f t="shared" si="0"/>
        <v>0</v>
      </c>
      <c r="V18" t="str">
        <f t="shared" si="1"/>
        <v>MLB</v>
      </c>
      <c r="W18" t="s">
        <v>1317</v>
      </c>
    </row>
    <row r="19" spans="1:23">
      <c r="A19">
        <v>2006</v>
      </c>
      <c r="B19">
        <v>1</v>
      </c>
      <c r="C19">
        <v>18</v>
      </c>
      <c r="D19">
        <v>18</v>
      </c>
      <c r="E19" t="s">
        <v>841</v>
      </c>
      <c r="F19" t="s">
        <v>842</v>
      </c>
      <c r="G19" t="s">
        <v>8</v>
      </c>
      <c r="H19">
        <v>-0.1</v>
      </c>
      <c r="N19">
        <v>43</v>
      </c>
      <c r="O19">
        <v>8</v>
      </c>
      <c r="P19">
        <v>15</v>
      </c>
      <c r="Q19">
        <v>5.26</v>
      </c>
      <c r="R19">
        <v>1.7</v>
      </c>
      <c r="S19">
        <v>0</v>
      </c>
      <c r="T19" t="s">
        <v>52</v>
      </c>
      <c r="U19">
        <f t="shared" si="0"/>
        <v>1</v>
      </c>
      <c r="V19" t="str">
        <f t="shared" si="1"/>
        <v>MLB</v>
      </c>
      <c r="W19" t="s">
        <v>1318</v>
      </c>
    </row>
    <row r="20" spans="1:23">
      <c r="A20">
        <v>2006</v>
      </c>
      <c r="B20">
        <v>1</v>
      </c>
      <c r="C20">
        <v>19</v>
      </c>
      <c r="D20">
        <v>19</v>
      </c>
      <c r="E20" t="s">
        <v>65</v>
      </c>
      <c r="F20" t="s">
        <v>843</v>
      </c>
      <c r="G20" t="s">
        <v>8</v>
      </c>
      <c r="H20">
        <v>-0.2</v>
      </c>
      <c r="N20">
        <v>3</v>
      </c>
      <c r="O20">
        <v>0</v>
      </c>
      <c r="P20">
        <v>0</v>
      </c>
      <c r="Q20">
        <v>13.5</v>
      </c>
      <c r="R20">
        <v>3.5</v>
      </c>
      <c r="S20">
        <v>0</v>
      </c>
      <c r="T20" t="s">
        <v>34</v>
      </c>
      <c r="U20">
        <f t="shared" si="0"/>
        <v>0</v>
      </c>
      <c r="V20" t="str">
        <f t="shared" si="1"/>
        <v>MLB</v>
      </c>
      <c r="W20" t="s">
        <v>1319</v>
      </c>
    </row>
    <row r="21" spans="1:23">
      <c r="A21">
        <v>2006</v>
      </c>
      <c r="B21">
        <v>1</v>
      </c>
      <c r="C21">
        <v>20</v>
      </c>
      <c r="D21">
        <v>20</v>
      </c>
      <c r="E21" t="s">
        <v>75</v>
      </c>
      <c r="F21" t="s">
        <v>844</v>
      </c>
      <c r="G21" t="s">
        <v>2</v>
      </c>
      <c r="H21">
        <v>0</v>
      </c>
      <c r="I21">
        <v>311</v>
      </c>
      <c r="J21">
        <v>917</v>
      </c>
      <c r="K21">
        <v>30</v>
      </c>
      <c r="L21">
        <v>0.248</v>
      </c>
      <c r="M21">
        <v>0.71699999999999997</v>
      </c>
      <c r="T21" t="s">
        <v>52</v>
      </c>
      <c r="U21">
        <f t="shared" si="0"/>
        <v>1</v>
      </c>
      <c r="V21" t="str">
        <f t="shared" si="1"/>
        <v>MLB</v>
      </c>
      <c r="W21" t="s">
        <v>1320</v>
      </c>
    </row>
    <row r="22" spans="1:23">
      <c r="A22">
        <v>2006</v>
      </c>
      <c r="B22">
        <v>1</v>
      </c>
      <c r="C22">
        <v>21</v>
      </c>
      <c r="D22">
        <v>21</v>
      </c>
      <c r="E22" t="s">
        <v>845</v>
      </c>
      <c r="F22" t="s">
        <v>846</v>
      </c>
      <c r="G22" t="s">
        <v>8</v>
      </c>
      <c r="H22">
        <v>16.899999999999999</v>
      </c>
      <c r="N22">
        <v>497</v>
      </c>
      <c r="O22">
        <v>104</v>
      </c>
      <c r="P22">
        <v>114</v>
      </c>
      <c r="Q22">
        <v>4.16</v>
      </c>
      <c r="R22">
        <v>1.29</v>
      </c>
      <c r="S22">
        <v>66</v>
      </c>
      <c r="T22" t="s">
        <v>34</v>
      </c>
      <c r="U22">
        <f t="shared" si="0"/>
        <v>0</v>
      </c>
      <c r="V22" t="str">
        <f t="shared" si="1"/>
        <v>MLB</v>
      </c>
      <c r="W22" t="s">
        <v>1321</v>
      </c>
    </row>
    <row r="23" spans="1:23">
      <c r="A23">
        <v>2006</v>
      </c>
      <c r="B23">
        <v>1</v>
      </c>
      <c r="C23">
        <v>22</v>
      </c>
      <c r="D23">
        <v>22</v>
      </c>
      <c r="E23" t="s">
        <v>847</v>
      </c>
      <c r="F23" t="s">
        <v>848</v>
      </c>
      <c r="G23" t="s">
        <v>8</v>
      </c>
      <c r="T23" t="s">
        <v>52</v>
      </c>
      <c r="U23">
        <f t="shared" si="0"/>
        <v>1</v>
      </c>
      <c r="V23" t="s">
        <v>14</v>
      </c>
      <c r="W23">
        <v>-9999</v>
      </c>
    </row>
    <row r="24" spans="1:23">
      <c r="A24">
        <v>2006</v>
      </c>
      <c r="B24">
        <v>1</v>
      </c>
      <c r="C24">
        <v>23</v>
      </c>
      <c r="D24">
        <v>23</v>
      </c>
      <c r="E24" t="s">
        <v>89</v>
      </c>
      <c r="F24" t="s">
        <v>849</v>
      </c>
      <c r="G24" t="s">
        <v>6</v>
      </c>
      <c r="T24" t="s">
        <v>52</v>
      </c>
      <c r="U24">
        <f t="shared" si="0"/>
        <v>1</v>
      </c>
      <c r="V24" t="s">
        <v>1114</v>
      </c>
      <c r="W24">
        <v>-9999</v>
      </c>
    </row>
    <row r="25" spans="1:23">
      <c r="A25">
        <v>2006</v>
      </c>
      <c r="B25">
        <v>1</v>
      </c>
      <c r="C25">
        <v>24</v>
      </c>
      <c r="D25">
        <v>24</v>
      </c>
      <c r="E25" t="s">
        <v>81</v>
      </c>
      <c r="F25" t="s">
        <v>850</v>
      </c>
      <c r="G25" t="s">
        <v>2</v>
      </c>
      <c r="T25" t="s">
        <v>52</v>
      </c>
      <c r="U25">
        <f t="shared" si="0"/>
        <v>1</v>
      </c>
      <c r="V25" t="s">
        <v>13</v>
      </c>
      <c r="W25">
        <v>-9999</v>
      </c>
    </row>
    <row r="26" spans="1:23">
      <c r="A26">
        <v>2006</v>
      </c>
      <c r="B26">
        <v>1</v>
      </c>
      <c r="C26">
        <v>25</v>
      </c>
      <c r="D26">
        <v>25</v>
      </c>
      <c r="E26" t="s">
        <v>851</v>
      </c>
      <c r="F26" t="s">
        <v>852</v>
      </c>
      <c r="G26" t="s">
        <v>6</v>
      </c>
      <c r="H26">
        <v>1.9</v>
      </c>
      <c r="I26">
        <v>373</v>
      </c>
      <c r="J26">
        <v>1013</v>
      </c>
      <c r="K26">
        <v>31</v>
      </c>
      <c r="L26">
        <v>0.221</v>
      </c>
      <c r="M26">
        <v>0.66</v>
      </c>
      <c r="T26" t="s">
        <v>52</v>
      </c>
      <c r="U26">
        <f t="shared" si="0"/>
        <v>1</v>
      </c>
      <c r="V26" t="str">
        <f t="shared" si="1"/>
        <v>MLB</v>
      </c>
      <c r="W26" t="s">
        <v>1322</v>
      </c>
    </row>
    <row r="27" spans="1:23">
      <c r="A27">
        <v>2006</v>
      </c>
      <c r="B27">
        <v>1</v>
      </c>
      <c r="C27">
        <v>26</v>
      </c>
      <c r="D27">
        <v>26</v>
      </c>
      <c r="E27" t="s">
        <v>853</v>
      </c>
      <c r="F27" t="s">
        <v>854</v>
      </c>
      <c r="G27" t="s">
        <v>8</v>
      </c>
      <c r="H27">
        <v>2.7</v>
      </c>
      <c r="N27">
        <v>231</v>
      </c>
      <c r="O27">
        <v>20</v>
      </c>
      <c r="P27">
        <v>12</v>
      </c>
      <c r="Q27">
        <v>3.13</v>
      </c>
      <c r="R27">
        <v>1.37</v>
      </c>
      <c r="S27">
        <v>1</v>
      </c>
      <c r="T27" t="s">
        <v>163</v>
      </c>
      <c r="U27">
        <f t="shared" si="0"/>
        <v>0</v>
      </c>
      <c r="V27" t="str">
        <f t="shared" si="1"/>
        <v>MLB</v>
      </c>
      <c r="W27" t="s">
        <v>1323</v>
      </c>
    </row>
    <row r="28" spans="1:23">
      <c r="A28">
        <v>2006</v>
      </c>
      <c r="B28">
        <v>1</v>
      </c>
      <c r="C28">
        <v>27</v>
      </c>
      <c r="D28">
        <v>27</v>
      </c>
      <c r="E28" t="s">
        <v>57</v>
      </c>
      <c r="F28" t="s">
        <v>855</v>
      </c>
      <c r="G28" t="s">
        <v>2</v>
      </c>
      <c r="T28" t="s">
        <v>52</v>
      </c>
      <c r="U28">
        <f t="shared" si="0"/>
        <v>1</v>
      </c>
      <c r="V28" t="s">
        <v>13</v>
      </c>
      <c r="W28">
        <v>-9999</v>
      </c>
    </row>
    <row r="29" spans="1:23">
      <c r="A29">
        <v>2006</v>
      </c>
      <c r="B29">
        <v>1</v>
      </c>
      <c r="C29">
        <v>28</v>
      </c>
      <c r="D29">
        <v>28</v>
      </c>
      <c r="E29" t="s">
        <v>856</v>
      </c>
      <c r="F29" t="s">
        <v>857</v>
      </c>
      <c r="G29" t="s">
        <v>8</v>
      </c>
      <c r="H29">
        <v>8.4</v>
      </c>
      <c r="N29">
        <v>408</v>
      </c>
      <c r="O29">
        <v>31</v>
      </c>
      <c r="P29">
        <v>35</v>
      </c>
      <c r="Q29">
        <v>3.74</v>
      </c>
      <c r="R29">
        <v>1.3</v>
      </c>
      <c r="S29">
        <v>66</v>
      </c>
      <c r="T29" t="s">
        <v>34</v>
      </c>
      <c r="U29">
        <f t="shared" si="0"/>
        <v>0</v>
      </c>
      <c r="V29" t="str">
        <f t="shared" si="1"/>
        <v>MLB</v>
      </c>
      <c r="W29" t="s">
        <v>1324</v>
      </c>
    </row>
    <row r="30" spans="1:23">
      <c r="A30">
        <v>2006</v>
      </c>
      <c r="B30">
        <v>1</v>
      </c>
      <c r="C30">
        <v>29</v>
      </c>
      <c r="D30">
        <v>29</v>
      </c>
      <c r="E30" t="s">
        <v>41</v>
      </c>
      <c r="F30" t="s">
        <v>858</v>
      </c>
      <c r="G30" t="s">
        <v>8</v>
      </c>
      <c r="T30" t="s">
        <v>34</v>
      </c>
      <c r="U30">
        <f t="shared" si="0"/>
        <v>0</v>
      </c>
      <c r="V30" t="s">
        <v>12</v>
      </c>
      <c r="W30">
        <v>-9999</v>
      </c>
    </row>
    <row r="31" spans="1:23">
      <c r="A31">
        <v>2006</v>
      </c>
      <c r="B31">
        <v>1</v>
      </c>
      <c r="C31">
        <v>30</v>
      </c>
      <c r="D31">
        <v>30</v>
      </c>
      <c r="E31" t="s">
        <v>46</v>
      </c>
      <c r="F31" t="s">
        <v>859</v>
      </c>
      <c r="G31" t="s">
        <v>8</v>
      </c>
      <c r="H31">
        <v>14.9</v>
      </c>
      <c r="N31">
        <v>727</v>
      </c>
      <c r="O31">
        <v>41</v>
      </c>
      <c r="P31">
        <v>43</v>
      </c>
      <c r="Q31">
        <v>3.48</v>
      </c>
      <c r="R31">
        <v>1.29</v>
      </c>
      <c r="S31">
        <v>46</v>
      </c>
      <c r="T31" t="s">
        <v>34</v>
      </c>
      <c r="U31">
        <f t="shared" si="0"/>
        <v>0</v>
      </c>
      <c r="V31" t="str">
        <f t="shared" si="1"/>
        <v>MLB</v>
      </c>
      <c r="W31" t="s">
        <v>1325</v>
      </c>
    </row>
    <row r="32" spans="1:23">
      <c r="A32">
        <v>2006</v>
      </c>
      <c r="B32" t="s">
        <v>537</v>
      </c>
      <c r="C32">
        <v>31</v>
      </c>
      <c r="D32">
        <v>31</v>
      </c>
      <c r="E32" t="s">
        <v>79</v>
      </c>
      <c r="F32" t="s">
        <v>860</v>
      </c>
      <c r="G32" t="s">
        <v>5</v>
      </c>
      <c r="T32" t="s">
        <v>52</v>
      </c>
      <c r="U32">
        <f t="shared" si="0"/>
        <v>1</v>
      </c>
      <c r="V32" t="s">
        <v>14</v>
      </c>
      <c r="W32">
        <v>-9999</v>
      </c>
    </row>
    <row r="33" spans="1:23">
      <c r="A33">
        <v>2006</v>
      </c>
      <c r="B33" t="s">
        <v>537</v>
      </c>
      <c r="C33">
        <v>32</v>
      </c>
      <c r="D33">
        <v>32</v>
      </c>
      <c r="E33" t="s">
        <v>77</v>
      </c>
      <c r="F33" t="s">
        <v>861</v>
      </c>
      <c r="G33" t="s">
        <v>8</v>
      </c>
      <c r="H33">
        <v>-1</v>
      </c>
      <c r="N33">
        <v>85</v>
      </c>
      <c r="O33">
        <v>4</v>
      </c>
      <c r="P33">
        <v>2</v>
      </c>
      <c r="Q33">
        <v>4.3099999999999996</v>
      </c>
      <c r="R33">
        <v>1.3</v>
      </c>
      <c r="S33">
        <v>0</v>
      </c>
      <c r="T33" t="s">
        <v>163</v>
      </c>
      <c r="U33">
        <f t="shared" si="0"/>
        <v>0</v>
      </c>
      <c r="V33" t="str">
        <f t="shared" si="1"/>
        <v>MLB</v>
      </c>
      <c r="W33" t="s">
        <v>1326</v>
      </c>
    </row>
    <row r="34" spans="1:23">
      <c r="A34">
        <v>2006</v>
      </c>
      <c r="B34" t="s">
        <v>537</v>
      </c>
      <c r="C34">
        <v>33</v>
      </c>
      <c r="D34">
        <v>33</v>
      </c>
      <c r="E34" t="s">
        <v>59</v>
      </c>
      <c r="F34" t="s">
        <v>862</v>
      </c>
      <c r="G34" t="s">
        <v>5</v>
      </c>
      <c r="H34">
        <v>-2.8</v>
      </c>
      <c r="I34">
        <v>325</v>
      </c>
      <c r="J34">
        <v>768</v>
      </c>
      <c r="K34">
        <v>1</v>
      </c>
      <c r="L34">
        <v>0.23699999999999999</v>
      </c>
      <c r="M34">
        <v>0.56499999999999995</v>
      </c>
      <c r="T34" t="s">
        <v>34</v>
      </c>
      <c r="U34">
        <f t="shared" si="0"/>
        <v>0</v>
      </c>
      <c r="V34" t="str">
        <f t="shared" si="1"/>
        <v>MLB</v>
      </c>
      <c r="W34" t="s">
        <v>1327</v>
      </c>
    </row>
    <row r="35" spans="1:23">
      <c r="A35">
        <v>2006</v>
      </c>
      <c r="B35" t="s">
        <v>537</v>
      </c>
      <c r="C35">
        <v>34</v>
      </c>
      <c r="D35">
        <v>34</v>
      </c>
      <c r="E35" t="s">
        <v>91</v>
      </c>
      <c r="F35" t="s">
        <v>863</v>
      </c>
      <c r="G35" t="s">
        <v>8</v>
      </c>
      <c r="H35">
        <v>0.9</v>
      </c>
      <c r="N35">
        <v>64</v>
      </c>
      <c r="O35">
        <v>1</v>
      </c>
      <c r="P35">
        <v>4</v>
      </c>
      <c r="Q35">
        <v>3.97</v>
      </c>
      <c r="R35">
        <v>1.24</v>
      </c>
      <c r="S35">
        <v>0</v>
      </c>
      <c r="T35" t="s">
        <v>34</v>
      </c>
      <c r="U35">
        <f t="shared" si="0"/>
        <v>0</v>
      </c>
      <c r="V35" t="str">
        <f t="shared" si="1"/>
        <v>MLB</v>
      </c>
      <c r="W35" t="s">
        <v>1328</v>
      </c>
    </row>
    <row r="36" spans="1:23">
      <c r="A36">
        <v>2006</v>
      </c>
      <c r="B36" t="s">
        <v>537</v>
      </c>
      <c r="C36">
        <v>35</v>
      </c>
      <c r="D36">
        <v>35</v>
      </c>
      <c r="E36" t="s">
        <v>83</v>
      </c>
      <c r="F36" t="s">
        <v>864</v>
      </c>
      <c r="G36" t="s">
        <v>2</v>
      </c>
      <c r="T36" t="s">
        <v>52</v>
      </c>
      <c r="U36">
        <f t="shared" si="0"/>
        <v>1</v>
      </c>
      <c r="V36" t="s">
        <v>14</v>
      </c>
      <c r="W36">
        <v>-9999</v>
      </c>
    </row>
    <row r="37" spans="1:23">
      <c r="A37">
        <v>2006</v>
      </c>
      <c r="B37" t="s">
        <v>537</v>
      </c>
      <c r="C37">
        <v>36</v>
      </c>
      <c r="D37">
        <v>36</v>
      </c>
      <c r="E37" t="s">
        <v>65</v>
      </c>
      <c r="F37" t="s">
        <v>865</v>
      </c>
      <c r="G37" t="s">
        <v>11</v>
      </c>
      <c r="H37">
        <v>1</v>
      </c>
      <c r="I37">
        <v>801</v>
      </c>
      <c r="J37">
        <v>2580</v>
      </c>
      <c r="K37">
        <v>53</v>
      </c>
      <c r="L37">
        <v>0.25800000000000001</v>
      </c>
      <c r="M37">
        <v>0.73099999999999998</v>
      </c>
      <c r="T37" t="s">
        <v>34</v>
      </c>
      <c r="U37">
        <f t="shared" si="0"/>
        <v>0</v>
      </c>
      <c r="V37" t="str">
        <f t="shared" si="1"/>
        <v>MLB</v>
      </c>
      <c r="W37" t="s">
        <v>1329</v>
      </c>
    </row>
    <row r="38" spans="1:23">
      <c r="A38">
        <v>2006</v>
      </c>
      <c r="B38" t="s">
        <v>537</v>
      </c>
      <c r="C38">
        <v>37</v>
      </c>
      <c r="D38">
        <v>37</v>
      </c>
      <c r="E38" t="s">
        <v>87</v>
      </c>
      <c r="F38" t="s">
        <v>866</v>
      </c>
      <c r="G38" t="s">
        <v>5</v>
      </c>
      <c r="H38">
        <v>-0.3</v>
      </c>
      <c r="I38">
        <v>45</v>
      </c>
      <c r="J38">
        <v>60</v>
      </c>
      <c r="K38">
        <v>0</v>
      </c>
      <c r="L38">
        <v>0.183</v>
      </c>
      <c r="M38">
        <v>0.55200000000000005</v>
      </c>
      <c r="T38" t="s">
        <v>52</v>
      </c>
      <c r="U38">
        <f t="shared" si="0"/>
        <v>1</v>
      </c>
      <c r="V38" t="str">
        <f t="shared" si="1"/>
        <v>MLB</v>
      </c>
      <c r="W38" t="s">
        <v>1330</v>
      </c>
    </row>
    <row r="39" spans="1:23">
      <c r="A39">
        <v>2006</v>
      </c>
      <c r="B39" t="s">
        <v>537</v>
      </c>
      <c r="C39">
        <v>38</v>
      </c>
      <c r="D39">
        <v>38</v>
      </c>
      <c r="E39" t="s">
        <v>81</v>
      </c>
      <c r="F39" t="s">
        <v>867</v>
      </c>
      <c r="G39" t="s">
        <v>8</v>
      </c>
      <c r="H39">
        <v>0.5</v>
      </c>
      <c r="N39">
        <v>84</v>
      </c>
      <c r="O39">
        <v>4</v>
      </c>
      <c r="P39">
        <v>5</v>
      </c>
      <c r="Q39">
        <v>4.17</v>
      </c>
      <c r="R39">
        <v>1.33</v>
      </c>
      <c r="S39">
        <v>0</v>
      </c>
      <c r="T39" t="s">
        <v>52</v>
      </c>
      <c r="U39">
        <f t="shared" si="0"/>
        <v>1</v>
      </c>
      <c r="V39" t="str">
        <f t="shared" si="1"/>
        <v>MLB</v>
      </c>
      <c r="W39" t="s">
        <v>1331</v>
      </c>
    </row>
    <row r="40" spans="1:23">
      <c r="A40">
        <v>2006</v>
      </c>
      <c r="B40" t="s">
        <v>537</v>
      </c>
      <c r="C40">
        <v>39</v>
      </c>
      <c r="D40">
        <v>39</v>
      </c>
      <c r="E40" t="s">
        <v>206</v>
      </c>
      <c r="F40" t="s">
        <v>868</v>
      </c>
      <c r="G40" t="s">
        <v>9</v>
      </c>
      <c r="H40">
        <v>-1.8</v>
      </c>
      <c r="N40">
        <v>120</v>
      </c>
      <c r="O40">
        <v>25</v>
      </c>
      <c r="P40">
        <v>30</v>
      </c>
      <c r="Q40">
        <v>5.17</v>
      </c>
      <c r="R40">
        <v>1.51</v>
      </c>
      <c r="S40">
        <v>0</v>
      </c>
      <c r="T40" t="s">
        <v>34</v>
      </c>
      <c r="U40">
        <f t="shared" si="0"/>
        <v>0</v>
      </c>
      <c r="V40" t="str">
        <f t="shared" si="1"/>
        <v>MLB</v>
      </c>
      <c r="W40" t="s">
        <v>1332</v>
      </c>
    </row>
    <row r="41" spans="1:23">
      <c r="A41">
        <v>2006</v>
      </c>
      <c r="B41" t="s">
        <v>537</v>
      </c>
      <c r="C41">
        <v>40</v>
      </c>
      <c r="D41">
        <v>40</v>
      </c>
      <c r="E41" t="s">
        <v>57</v>
      </c>
      <c r="F41" t="s">
        <v>869</v>
      </c>
      <c r="G41" t="s">
        <v>9</v>
      </c>
      <c r="H41">
        <v>0</v>
      </c>
      <c r="N41">
        <v>7</v>
      </c>
      <c r="O41">
        <v>0</v>
      </c>
      <c r="P41">
        <v>3</v>
      </c>
      <c r="Q41">
        <v>5.32</v>
      </c>
      <c r="R41">
        <v>1.77</v>
      </c>
      <c r="S41">
        <v>0</v>
      </c>
      <c r="T41" t="s">
        <v>34</v>
      </c>
      <c r="U41">
        <f t="shared" si="0"/>
        <v>0</v>
      </c>
      <c r="V41" t="str">
        <f t="shared" si="1"/>
        <v>MLB</v>
      </c>
      <c r="W41" t="s">
        <v>1333</v>
      </c>
    </row>
    <row r="42" spans="1:23">
      <c r="A42">
        <v>2006</v>
      </c>
      <c r="B42" t="s">
        <v>537</v>
      </c>
      <c r="C42">
        <v>41</v>
      </c>
      <c r="D42">
        <v>41</v>
      </c>
      <c r="E42" t="s">
        <v>85</v>
      </c>
      <c r="F42" t="s">
        <v>870</v>
      </c>
      <c r="G42" t="s">
        <v>8</v>
      </c>
      <c r="H42">
        <v>7.6</v>
      </c>
      <c r="N42">
        <v>385</v>
      </c>
      <c r="O42">
        <v>25</v>
      </c>
      <c r="P42">
        <v>21</v>
      </c>
      <c r="Q42">
        <v>3.81</v>
      </c>
      <c r="R42">
        <v>1.38</v>
      </c>
      <c r="S42">
        <v>7</v>
      </c>
      <c r="T42" t="s">
        <v>34</v>
      </c>
      <c r="U42">
        <f t="shared" si="0"/>
        <v>0</v>
      </c>
      <c r="V42" t="str">
        <f t="shared" si="1"/>
        <v>MLB</v>
      </c>
      <c r="W42" t="s">
        <v>1334</v>
      </c>
    </row>
    <row r="43" spans="1:23">
      <c r="A43">
        <v>2006</v>
      </c>
      <c r="B43" t="s">
        <v>537</v>
      </c>
      <c r="C43">
        <v>42</v>
      </c>
      <c r="D43">
        <v>42</v>
      </c>
      <c r="E43" t="s">
        <v>46</v>
      </c>
      <c r="F43" t="s">
        <v>871</v>
      </c>
      <c r="G43" t="s">
        <v>8</v>
      </c>
      <c r="H43">
        <v>4.7</v>
      </c>
      <c r="N43">
        <v>393</v>
      </c>
      <c r="O43">
        <v>16</v>
      </c>
      <c r="P43">
        <v>24</v>
      </c>
      <c r="Q43">
        <v>3.51</v>
      </c>
      <c r="R43">
        <v>1.24</v>
      </c>
      <c r="S43">
        <v>133</v>
      </c>
      <c r="T43" t="s">
        <v>34</v>
      </c>
      <c r="U43">
        <f t="shared" si="0"/>
        <v>0</v>
      </c>
      <c r="V43" t="str">
        <f t="shared" si="1"/>
        <v>MLB</v>
      </c>
      <c r="W43" t="s">
        <v>1335</v>
      </c>
    </row>
    <row r="44" spans="1:23">
      <c r="A44">
        <v>2006</v>
      </c>
      <c r="B44" t="s">
        <v>537</v>
      </c>
      <c r="C44">
        <v>43</v>
      </c>
      <c r="D44">
        <v>43</v>
      </c>
      <c r="E44" t="s">
        <v>81</v>
      </c>
      <c r="F44" t="s">
        <v>872</v>
      </c>
      <c r="G44" t="s">
        <v>9</v>
      </c>
      <c r="T44" t="s">
        <v>52</v>
      </c>
      <c r="U44">
        <f t="shared" si="0"/>
        <v>1</v>
      </c>
      <c r="V44" t="s">
        <v>13</v>
      </c>
      <c r="W44">
        <v>-9999</v>
      </c>
    </row>
    <row r="45" spans="1:23">
      <c r="A45">
        <v>2006</v>
      </c>
      <c r="B45" t="s">
        <v>537</v>
      </c>
      <c r="C45">
        <v>44</v>
      </c>
      <c r="D45">
        <v>44</v>
      </c>
      <c r="E45" t="s">
        <v>57</v>
      </c>
      <c r="F45" t="s">
        <v>873</v>
      </c>
      <c r="G45" t="s">
        <v>8</v>
      </c>
      <c r="T45" t="s">
        <v>52</v>
      </c>
      <c r="U45">
        <f t="shared" si="0"/>
        <v>1</v>
      </c>
      <c r="V45" t="s">
        <v>12</v>
      </c>
      <c r="W45">
        <v>-9999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A6092-2956-4AA8-8643-77EC3F0F8335}">
  <dimension ref="A1:W65"/>
  <sheetViews>
    <sheetView workbookViewId="0">
      <selection activeCell="X57" sqref="X57"/>
    </sheetView>
  </sheetViews>
  <sheetFormatPr defaultRowHeight="14.5"/>
  <cols>
    <col min="1" max="1" width="4.81640625" bestFit="1" customWidth="1"/>
    <col min="2" max="2" width="3.90625" bestFit="1" customWidth="1"/>
    <col min="3" max="3" width="6" bestFit="1" customWidth="1"/>
    <col min="4" max="4" width="5.90625" bestFit="1" customWidth="1"/>
    <col min="5" max="5" width="17.81640625" bestFit="1" customWidth="1"/>
    <col min="6" max="6" width="24.453125" bestFit="1" customWidth="1"/>
    <col min="7" max="7" width="4.26953125" bestFit="1" customWidth="1"/>
    <col min="8" max="10" width="4.81640625" bestFit="1" customWidth="1"/>
    <col min="11" max="11" width="3.81640625" bestFit="1" customWidth="1"/>
    <col min="12" max="13" width="5.81640625" bestFit="1" customWidth="1"/>
    <col min="14" max="16" width="3.81640625" bestFit="1" customWidth="1"/>
    <col min="17" max="17" width="4.81640625" bestFit="1" customWidth="1"/>
    <col min="18" max="18" width="5.26953125" bestFit="1" customWidth="1"/>
    <col min="19" max="19" width="3.81640625" bestFit="1" customWidth="1"/>
    <col min="20" max="20" width="4.54296875" bestFit="1" customWidth="1"/>
    <col min="21" max="21" width="4" bestFit="1" customWidth="1"/>
  </cols>
  <sheetData>
    <row r="1" spans="1:23">
      <c r="A1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>
        <v>2007</v>
      </c>
      <c r="B2">
        <v>1</v>
      </c>
      <c r="C2">
        <v>1</v>
      </c>
      <c r="D2">
        <v>1</v>
      </c>
      <c r="E2" t="s">
        <v>768</v>
      </c>
      <c r="F2" t="s">
        <v>769</v>
      </c>
      <c r="G2" t="s">
        <v>9</v>
      </c>
      <c r="H2">
        <v>40.200000000000003</v>
      </c>
      <c r="N2">
        <v>400</v>
      </c>
      <c r="O2">
        <v>157</v>
      </c>
      <c r="P2">
        <v>82</v>
      </c>
      <c r="Q2">
        <v>3.32</v>
      </c>
      <c r="R2">
        <v>1.1599999999999999</v>
      </c>
      <c r="S2">
        <v>3</v>
      </c>
      <c r="T2" t="s">
        <v>34</v>
      </c>
      <c r="U2">
        <f>IF(ISNUMBER(SEARCH("HS",T2)),1,0)</f>
        <v>0</v>
      </c>
      <c r="V2" t="str">
        <f>IF(ISNUMBER(H2),"MLB","")</f>
        <v>MLB</v>
      </c>
      <c r="W2" t="s">
        <v>1336</v>
      </c>
    </row>
    <row r="3" spans="1:23">
      <c r="A3">
        <v>2007</v>
      </c>
      <c r="B3">
        <v>1</v>
      </c>
      <c r="C3">
        <v>2</v>
      </c>
      <c r="D3">
        <v>2</v>
      </c>
      <c r="E3" t="s">
        <v>43</v>
      </c>
      <c r="F3" t="s">
        <v>770</v>
      </c>
      <c r="G3" t="s">
        <v>5</v>
      </c>
      <c r="H3">
        <v>12.7</v>
      </c>
      <c r="I3">
        <v>1427</v>
      </c>
      <c r="J3">
        <v>5060</v>
      </c>
      <c r="K3">
        <v>215</v>
      </c>
      <c r="L3">
        <v>0.247</v>
      </c>
      <c r="M3">
        <v>0.73899999999999999</v>
      </c>
      <c r="T3" t="s">
        <v>52</v>
      </c>
      <c r="U3">
        <f t="shared" ref="U3:U51" si="0">IF(ISNUMBER(SEARCH("HS",T3)),1,0)</f>
        <v>1</v>
      </c>
      <c r="V3" t="str">
        <f t="shared" ref="V3:V65" si="1">IF(ISNUMBER(H3),"MLB","")</f>
        <v>MLB</v>
      </c>
      <c r="W3" t="s">
        <v>1337</v>
      </c>
    </row>
    <row r="4" spans="1:23">
      <c r="A4">
        <v>2007</v>
      </c>
      <c r="B4">
        <v>1</v>
      </c>
      <c r="C4">
        <v>3</v>
      </c>
      <c r="D4">
        <v>3</v>
      </c>
      <c r="E4" t="s">
        <v>61</v>
      </c>
      <c r="F4" t="s">
        <v>771</v>
      </c>
      <c r="G4" t="s">
        <v>11</v>
      </c>
      <c r="H4">
        <v>-1.3</v>
      </c>
      <c r="I4">
        <v>36</v>
      </c>
      <c r="J4">
        <v>99</v>
      </c>
      <c r="K4">
        <v>2</v>
      </c>
      <c r="L4">
        <v>0.121</v>
      </c>
      <c r="M4">
        <v>0.39500000000000002</v>
      </c>
      <c r="T4" t="s">
        <v>52</v>
      </c>
      <c r="U4">
        <f t="shared" si="0"/>
        <v>1</v>
      </c>
      <c r="V4" t="str">
        <f t="shared" si="1"/>
        <v>MLB</v>
      </c>
      <c r="W4" t="s">
        <v>1338</v>
      </c>
    </row>
    <row r="5" spans="1:23">
      <c r="A5">
        <v>2007</v>
      </c>
      <c r="B5">
        <v>1</v>
      </c>
      <c r="C5">
        <v>4</v>
      </c>
      <c r="D5">
        <v>4</v>
      </c>
      <c r="E5" t="s">
        <v>50</v>
      </c>
      <c r="F5" t="s">
        <v>772</v>
      </c>
      <c r="G5" t="s">
        <v>9</v>
      </c>
      <c r="H5">
        <v>0.2</v>
      </c>
      <c r="N5">
        <v>31</v>
      </c>
      <c r="O5">
        <v>1</v>
      </c>
      <c r="P5">
        <v>1</v>
      </c>
      <c r="Q5">
        <v>2.96</v>
      </c>
      <c r="R5">
        <v>1.56</v>
      </c>
      <c r="S5">
        <v>0</v>
      </c>
      <c r="T5" t="s">
        <v>34</v>
      </c>
      <c r="U5">
        <f t="shared" si="0"/>
        <v>0</v>
      </c>
      <c r="V5" t="str">
        <f t="shared" si="1"/>
        <v>MLB</v>
      </c>
      <c r="W5" t="s">
        <v>1339</v>
      </c>
    </row>
    <row r="6" spans="1:23">
      <c r="A6">
        <v>2007</v>
      </c>
      <c r="B6">
        <v>1</v>
      </c>
      <c r="C6">
        <v>5</v>
      </c>
      <c r="D6">
        <v>5</v>
      </c>
      <c r="E6" t="s">
        <v>77</v>
      </c>
      <c r="F6" t="s">
        <v>773</v>
      </c>
      <c r="G6" t="s">
        <v>6</v>
      </c>
      <c r="H6">
        <v>18.2</v>
      </c>
      <c r="I6">
        <v>1167</v>
      </c>
      <c r="J6">
        <v>3994</v>
      </c>
      <c r="K6">
        <v>146</v>
      </c>
      <c r="L6">
        <v>0.249</v>
      </c>
      <c r="M6">
        <v>0.72199999999999998</v>
      </c>
      <c r="T6" t="s">
        <v>34</v>
      </c>
      <c r="U6">
        <f t="shared" si="0"/>
        <v>0</v>
      </c>
      <c r="V6" t="str">
        <f t="shared" si="1"/>
        <v>MLB</v>
      </c>
      <c r="W6" t="s">
        <v>1340</v>
      </c>
    </row>
    <row r="7" spans="1:23">
      <c r="A7">
        <v>2007</v>
      </c>
      <c r="B7">
        <v>1</v>
      </c>
      <c r="C7">
        <v>6</v>
      </c>
      <c r="D7">
        <v>6</v>
      </c>
      <c r="E7" t="s">
        <v>53</v>
      </c>
      <c r="F7" t="s">
        <v>774</v>
      </c>
      <c r="G7" t="s">
        <v>9</v>
      </c>
      <c r="H7">
        <v>0.6</v>
      </c>
      <c r="N7">
        <v>307</v>
      </c>
      <c r="O7">
        <v>30</v>
      </c>
      <c r="P7">
        <v>51</v>
      </c>
      <c r="Q7">
        <v>4.5599999999999996</v>
      </c>
      <c r="R7">
        <v>1.46</v>
      </c>
      <c r="S7">
        <v>2</v>
      </c>
      <c r="T7" t="s">
        <v>34</v>
      </c>
      <c r="U7">
        <f t="shared" si="0"/>
        <v>0</v>
      </c>
      <c r="V7" t="str">
        <f t="shared" si="1"/>
        <v>MLB</v>
      </c>
      <c r="W7" t="s">
        <v>1341</v>
      </c>
    </row>
    <row r="8" spans="1:23">
      <c r="A8">
        <v>2007</v>
      </c>
      <c r="B8">
        <v>1</v>
      </c>
      <c r="C8">
        <v>7</v>
      </c>
      <c r="D8">
        <v>7</v>
      </c>
      <c r="E8" t="s">
        <v>67</v>
      </c>
      <c r="F8" t="s">
        <v>775</v>
      </c>
      <c r="G8" t="s">
        <v>3</v>
      </c>
      <c r="H8">
        <v>-1</v>
      </c>
      <c r="I8">
        <v>291</v>
      </c>
      <c r="J8">
        <v>967</v>
      </c>
      <c r="K8">
        <v>31</v>
      </c>
      <c r="L8">
        <v>0.23799999999999999</v>
      </c>
      <c r="M8">
        <v>0.69399999999999995</v>
      </c>
      <c r="T8" t="s">
        <v>34</v>
      </c>
      <c r="U8">
        <f t="shared" si="0"/>
        <v>0</v>
      </c>
      <c r="V8" t="str">
        <f t="shared" si="1"/>
        <v>MLB</v>
      </c>
      <c r="W8" t="s">
        <v>1342</v>
      </c>
    </row>
    <row r="9" spans="1:23">
      <c r="A9">
        <v>2007</v>
      </c>
      <c r="B9">
        <v>1</v>
      </c>
      <c r="C9">
        <v>8</v>
      </c>
      <c r="D9">
        <v>8</v>
      </c>
      <c r="E9" t="s">
        <v>37</v>
      </c>
      <c r="F9" t="s">
        <v>776</v>
      </c>
      <c r="G9" t="s">
        <v>8</v>
      </c>
      <c r="T9" t="s">
        <v>34</v>
      </c>
      <c r="U9">
        <f t="shared" si="0"/>
        <v>0</v>
      </c>
      <c r="V9" t="s">
        <v>13</v>
      </c>
      <c r="W9">
        <v>-9999</v>
      </c>
    </row>
    <row r="10" spans="1:23">
      <c r="A10">
        <v>2007</v>
      </c>
      <c r="B10">
        <v>1</v>
      </c>
      <c r="C10">
        <v>9</v>
      </c>
      <c r="D10">
        <v>9</v>
      </c>
      <c r="E10" t="s">
        <v>91</v>
      </c>
      <c r="F10" t="s">
        <v>777</v>
      </c>
      <c r="G10" t="s">
        <v>8</v>
      </c>
      <c r="H10">
        <v>6.5</v>
      </c>
      <c r="N10">
        <v>62</v>
      </c>
      <c r="O10">
        <v>25</v>
      </c>
      <c r="P10">
        <v>16</v>
      </c>
      <c r="Q10">
        <v>3.68</v>
      </c>
      <c r="R10">
        <v>1.24</v>
      </c>
      <c r="S10">
        <v>0</v>
      </c>
      <c r="T10" t="s">
        <v>52</v>
      </c>
      <c r="U10">
        <f t="shared" si="0"/>
        <v>1</v>
      </c>
      <c r="V10" t="str">
        <f t="shared" si="1"/>
        <v>MLB</v>
      </c>
      <c r="W10" t="s">
        <v>1343</v>
      </c>
    </row>
    <row r="11" spans="1:23">
      <c r="A11">
        <v>2007</v>
      </c>
      <c r="B11">
        <v>1</v>
      </c>
      <c r="C11">
        <v>10</v>
      </c>
      <c r="D11">
        <v>10</v>
      </c>
      <c r="E11" t="s">
        <v>59</v>
      </c>
      <c r="F11" t="s">
        <v>778</v>
      </c>
      <c r="G11" t="s">
        <v>9</v>
      </c>
      <c r="H11">
        <v>37.200000000000003</v>
      </c>
      <c r="N11">
        <v>358</v>
      </c>
      <c r="O11">
        <v>134</v>
      </c>
      <c r="P11">
        <v>124</v>
      </c>
      <c r="Q11">
        <v>3.47</v>
      </c>
      <c r="R11">
        <v>1.1499999999999999</v>
      </c>
      <c r="S11">
        <v>0</v>
      </c>
      <c r="T11" t="s">
        <v>52</v>
      </c>
      <c r="U11">
        <f t="shared" si="0"/>
        <v>1</v>
      </c>
      <c r="V11" t="str">
        <f t="shared" si="1"/>
        <v>MLB</v>
      </c>
      <c r="W11" t="s">
        <v>1344</v>
      </c>
    </row>
    <row r="12" spans="1:23">
      <c r="A12">
        <v>2007</v>
      </c>
      <c r="B12">
        <v>1</v>
      </c>
      <c r="C12">
        <v>11</v>
      </c>
      <c r="D12">
        <v>11</v>
      </c>
      <c r="E12" t="s">
        <v>63</v>
      </c>
      <c r="F12" t="s">
        <v>779</v>
      </c>
      <c r="G12" t="s">
        <v>8</v>
      </c>
      <c r="H12">
        <v>-0.7</v>
      </c>
      <c r="N12">
        <v>46</v>
      </c>
      <c r="O12">
        <v>1</v>
      </c>
      <c r="P12">
        <v>6</v>
      </c>
      <c r="Q12">
        <v>6.8</v>
      </c>
      <c r="R12">
        <v>1.99</v>
      </c>
      <c r="S12">
        <v>2</v>
      </c>
      <c r="T12" t="s">
        <v>52</v>
      </c>
      <c r="U12">
        <f t="shared" si="0"/>
        <v>1</v>
      </c>
      <c r="V12" t="str">
        <f t="shared" si="1"/>
        <v>MLB</v>
      </c>
      <c r="W12" t="s">
        <v>1345</v>
      </c>
    </row>
    <row r="13" spans="1:23">
      <c r="A13">
        <v>2007</v>
      </c>
      <c r="B13">
        <v>1</v>
      </c>
      <c r="C13">
        <v>12</v>
      </c>
      <c r="D13">
        <v>12</v>
      </c>
      <c r="E13" t="s">
        <v>65</v>
      </c>
      <c r="F13" t="s">
        <v>780</v>
      </c>
      <c r="G13" t="s">
        <v>11</v>
      </c>
      <c r="H13">
        <v>1.2</v>
      </c>
      <c r="I13">
        <v>362</v>
      </c>
      <c r="J13">
        <v>1272</v>
      </c>
      <c r="K13">
        <v>42</v>
      </c>
      <c r="L13">
        <v>0.23100000000000001</v>
      </c>
      <c r="M13">
        <v>0.64400000000000002</v>
      </c>
      <c r="T13" t="s">
        <v>52</v>
      </c>
      <c r="U13">
        <f t="shared" si="0"/>
        <v>1</v>
      </c>
      <c r="V13" t="str">
        <f t="shared" si="1"/>
        <v>MLB</v>
      </c>
      <c r="W13" t="s">
        <v>1346</v>
      </c>
    </row>
    <row r="14" spans="1:23">
      <c r="A14">
        <v>2007</v>
      </c>
      <c r="B14">
        <v>1</v>
      </c>
      <c r="C14">
        <v>13</v>
      </c>
      <c r="D14">
        <v>13</v>
      </c>
      <c r="E14" t="s">
        <v>206</v>
      </c>
      <c r="F14" t="s">
        <v>781</v>
      </c>
      <c r="G14" t="s">
        <v>3</v>
      </c>
      <c r="T14" t="s">
        <v>34</v>
      </c>
      <c r="U14">
        <f t="shared" si="0"/>
        <v>0</v>
      </c>
      <c r="V14" t="s">
        <v>12</v>
      </c>
      <c r="W14">
        <v>-9999</v>
      </c>
    </row>
    <row r="15" spans="1:23">
      <c r="A15">
        <v>2007</v>
      </c>
      <c r="B15">
        <v>1</v>
      </c>
      <c r="C15">
        <v>14</v>
      </c>
      <c r="D15">
        <v>14</v>
      </c>
      <c r="E15" t="s">
        <v>81</v>
      </c>
      <c r="F15" t="s">
        <v>782</v>
      </c>
      <c r="G15" t="s">
        <v>2</v>
      </c>
      <c r="H15">
        <v>41.5</v>
      </c>
      <c r="I15">
        <v>1824</v>
      </c>
      <c r="J15">
        <v>6174</v>
      </c>
      <c r="K15">
        <v>186</v>
      </c>
      <c r="L15">
        <v>0.255</v>
      </c>
      <c r="M15">
        <v>0.74399999999999999</v>
      </c>
      <c r="T15" t="s">
        <v>52</v>
      </c>
      <c r="U15">
        <f t="shared" si="0"/>
        <v>1</v>
      </c>
      <c r="V15" t="str">
        <f t="shared" si="1"/>
        <v>MLB</v>
      </c>
      <c r="W15" t="s">
        <v>1347</v>
      </c>
    </row>
    <row r="16" spans="1:23">
      <c r="A16">
        <v>2007</v>
      </c>
      <c r="B16">
        <v>1</v>
      </c>
      <c r="C16">
        <v>15</v>
      </c>
      <c r="D16">
        <v>15</v>
      </c>
      <c r="E16" t="s">
        <v>35</v>
      </c>
      <c r="F16" t="s">
        <v>783</v>
      </c>
      <c r="G16" t="s">
        <v>6</v>
      </c>
      <c r="H16">
        <v>4.5</v>
      </c>
      <c r="I16">
        <v>468</v>
      </c>
      <c r="J16">
        <v>1402</v>
      </c>
      <c r="K16">
        <v>58</v>
      </c>
      <c r="L16">
        <v>0.23200000000000001</v>
      </c>
      <c r="M16">
        <v>0.71499999999999997</v>
      </c>
      <c r="T16" t="s">
        <v>52</v>
      </c>
      <c r="U16">
        <f t="shared" si="0"/>
        <v>1</v>
      </c>
      <c r="V16" t="str">
        <f t="shared" si="1"/>
        <v>MLB</v>
      </c>
      <c r="W16" t="s">
        <v>1348</v>
      </c>
    </row>
    <row r="17" spans="1:23">
      <c r="A17">
        <v>2007</v>
      </c>
      <c r="B17">
        <v>1</v>
      </c>
      <c r="C17">
        <v>16</v>
      </c>
      <c r="D17">
        <v>16</v>
      </c>
      <c r="E17" t="s">
        <v>784</v>
      </c>
      <c r="F17" t="s">
        <v>785</v>
      </c>
      <c r="G17" t="s">
        <v>11</v>
      </c>
      <c r="T17" t="s">
        <v>52</v>
      </c>
      <c r="U17">
        <f t="shared" si="0"/>
        <v>1</v>
      </c>
      <c r="V17" t="s">
        <v>12</v>
      </c>
      <c r="W17">
        <v>-9999</v>
      </c>
    </row>
    <row r="18" spans="1:23">
      <c r="A18">
        <v>2007</v>
      </c>
      <c r="B18">
        <v>1</v>
      </c>
      <c r="C18">
        <v>17</v>
      </c>
      <c r="D18">
        <v>17</v>
      </c>
      <c r="E18" t="s">
        <v>786</v>
      </c>
      <c r="F18" t="s">
        <v>787</v>
      </c>
      <c r="G18" t="s">
        <v>8</v>
      </c>
      <c r="H18">
        <v>1.7</v>
      </c>
      <c r="N18">
        <v>54</v>
      </c>
      <c r="O18">
        <v>16</v>
      </c>
      <c r="P18">
        <v>20</v>
      </c>
      <c r="Q18">
        <v>4.6100000000000003</v>
      </c>
      <c r="R18">
        <v>1.27</v>
      </c>
      <c r="S18">
        <v>0</v>
      </c>
      <c r="T18" t="s">
        <v>52</v>
      </c>
      <c r="U18">
        <f t="shared" si="0"/>
        <v>1</v>
      </c>
      <c r="V18" t="str">
        <f t="shared" si="1"/>
        <v>MLB</v>
      </c>
      <c r="W18" t="s">
        <v>1349</v>
      </c>
    </row>
    <row r="19" spans="1:23">
      <c r="A19">
        <v>2007</v>
      </c>
      <c r="B19">
        <v>1</v>
      </c>
      <c r="C19">
        <v>18</v>
      </c>
      <c r="D19">
        <v>18</v>
      </c>
      <c r="E19" t="s">
        <v>46</v>
      </c>
      <c r="F19" t="s">
        <v>788</v>
      </c>
      <c r="G19" t="s">
        <v>5</v>
      </c>
      <c r="H19">
        <v>-0.2</v>
      </c>
      <c r="I19">
        <v>344</v>
      </c>
      <c r="J19">
        <v>746</v>
      </c>
      <c r="K19">
        <v>5</v>
      </c>
      <c r="L19">
        <v>0.21299999999999999</v>
      </c>
      <c r="M19">
        <v>0.56399999999999995</v>
      </c>
      <c r="T19" t="s">
        <v>52</v>
      </c>
      <c r="U19">
        <f t="shared" si="0"/>
        <v>1</v>
      </c>
      <c r="V19" t="str">
        <f t="shared" si="1"/>
        <v>MLB</v>
      </c>
      <c r="W19" t="s">
        <v>1350</v>
      </c>
    </row>
    <row r="20" spans="1:23">
      <c r="A20">
        <v>2007</v>
      </c>
      <c r="B20">
        <v>1</v>
      </c>
      <c r="C20">
        <v>19</v>
      </c>
      <c r="D20">
        <v>19</v>
      </c>
      <c r="E20" t="s">
        <v>87</v>
      </c>
      <c r="F20" t="s">
        <v>789</v>
      </c>
      <c r="G20" t="s">
        <v>9</v>
      </c>
      <c r="H20">
        <v>-0.1</v>
      </c>
      <c r="N20">
        <v>44</v>
      </c>
      <c r="O20">
        <v>3</v>
      </c>
      <c r="P20">
        <v>2</v>
      </c>
      <c r="Q20">
        <v>3.83</v>
      </c>
      <c r="R20">
        <v>1.26</v>
      </c>
      <c r="S20">
        <v>0</v>
      </c>
      <c r="T20" t="s">
        <v>34</v>
      </c>
      <c r="U20">
        <f t="shared" si="0"/>
        <v>0</v>
      </c>
      <c r="V20" t="str">
        <f t="shared" si="1"/>
        <v>MLB</v>
      </c>
      <c r="W20" t="s">
        <v>1351</v>
      </c>
    </row>
    <row r="21" spans="1:23">
      <c r="A21">
        <v>2007</v>
      </c>
      <c r="B21">
        <v>1</v>
      </c>
      <c r="C21">
        <v>20</v>
      </c>
      <c r="D21">
        <v>20</v>
      </c>
      <c r="E21" t="s">
        <v>790</v>
      </c>
      <c r="F21" t="s">
        <v>791</v>
      </c>
      <c r="G21" t="s">
        <v>8</v>
      </c>
      <c r="H21">
        <v>1.4</v>
      </c>
      <c r="N21">
        <v>92</v>
      </c>
      <c r="O21">
        <v>6</v>
      </c>
      <c r="P21">
        <v>0</v>
      </c>
      <c r="Q21">
        <v>3.07</v>
      </c>
      <c r="R21">
        <v>1.1399999999999999</v>
      </c>
      <c r="S21">
        <v>1</v>
      </c>
      <c r="T21" t="s">
        <v>52</v>
      </c>
      <c r="U21">
        <f t="shared" si="0"/>
        <v>1</v>
      </c>
      <c r="V21" t="str">
        <f t="shared" si="1"/>
        <v>MLB</v>
      </c>
      <c r="W21" t="s">
        <v>1352</v>
      </c>
    </row>
    <row r="22" spans="1:23">
      <c r="A22">
        <v>2007</v>
      </c>
      <c r="B22">
        <v>1</v>
      </c>
      <c r="C22">
        <v>21</v>
      </c>
      <c r="D22">
        <v>21</v>
      </c>
      <c r="E22" t="s">
        <v>73</v>
      </c>
      <c r="F22" t="s">
        <v>792</v>
      </c>
      <c r="G22" t="s">
        <v>6</v>
      </c>
      <c r="H22">
        <v>1.9</v>
      </c>
      <c r="I22">
        <v>466</v>
      </c>
      <c r="J22">
        <v>1573</v>
      </c>
      <c r="K22">
        <v>80</v>
      </c>
      <c r="L22">
        <v>0.21199999999999999</v>
      </c>
      <c r="M22">
        <v>0.67</v>
      </c>
      <c r="T22" t="s">
        <v>34</v>
      </c>
      <c r="U22">
        <f t="shared" si="0"/>
        <v>0</v>
      </c>
      <c r="V22" t="str">
        <f t="shared" si="1"/>
        <v>MLB</v>
      </c>
      <c r="W22" t="s">
        <v>1353</v>
      </c>
    </row>
    <row r="23" spans="1:23">
      <c r="A23">
        <v>2007</v>
      </c>
      <c r="B23">
        <v>1</v>
      </c>
      <c r="C23">
        <v>22</v>
      </c>
      <c r="D23">
        <v>22</v>
      </c>
      <c r="E23" t="s">
        <v>793</v>
      </c>
      <c r="F23" t="s">
        <v>794</v>
      </c>
      <c r="G23" t="s">
        <v>8</v>
      </c>
      <c r="T23" t="s">
        <v>52</v>
      </c>
      <c r="U23">
        <f t="shared" si="0"/>
        <v>1</v>
      </c>
      <c r="V23" t="s">
        <v>13</v>
      </c>
      <c r="W23">
        <v>-9999</v>
      </c>
    </row>
    <row r="24" spans="1:23">
      <c r="A24">
        <v>2007</v>
      </c>
      <c r="B24">
        <v>1</v>
      </c>
      <c r="C24">
        <v>23</v>
      </c>
      <c r="D24">
        <v>23</v>
      </c>
      <c r="E24" t="s">
        <v>83</v>
      </c>
      <c r="F24" t="s">
        <v>795</v>
      </c>
      <c r="G24" t="s">
        <v>9</v>
      </c>
      <c r="T24" t="s">
        <v>34</v>
      </c>
      <c r="U24">
        <f t="shared" si="0"/>
        <v>0</v>
      </c>
      <c r="V24" t="s">
        <v>12</v>
      </c>
      <c r="W24">
        <v>-9999</v>
      </c>
    </row>
    <row r="25" spans="1:23">
      <c r="A25">
        <v>2007</v>
      </c>
      <c r="B25">
        <v>1</v>
      </c>
      <c r="C25">
        <v>24</v>
      </c>
      <c r="D25">
        <v>24</v>
      </c>
      <c r="E25" t="s">
        <v>492</v>
      </c>
      <c r="F25" t="s">
        <v>796</v>
      </c>
      <c r="G25" t="s">
        <v>8</v>
      </c>
      <c r="T25" t="s">
        <v>52</v>
      </c>
      <c r="U25">
        <f t="shared" si="0"/>
        <v>1</v>
      </c>
      <c r="V25" t="s">
        <v>13</v>
      </c>
      <c r="W25">
        <v>-9999</v>
      </c>
    </row>
    <row r="26" spans="1:23">
      <c r="A26">
        <v>2007</v>
      </c>
      <c r="B26">
        <v>1</v>
      </c>
      <c r="C26">
        <v>25</v>
      </c>
      <c r="D26">
        <v>25</v>
      </c>
      <c r="E26" t="s">
        <v>41</v>
      </c>
      <c r="F26" t="s">
        <v>797</v>
      </c>
      <c r="G26" t="s">
        <v>9</v>
      </c>
      <c r="H26">
        <v>0.2</v>
      </c>
      <c r="N26">
        <v>40</v>
      </c>
      <c r="O26">
        <v>3</v>
      </c>
      <c r="P26">
        <v>1</v>
      </c>
      <c r="Q26">
        <v>4.67</v>
      </c>
      <c r="R26">
        <v>1.73</v>
      </c>
      <c r="S26">
        <v>0</v>
      </c>
      <c r="T26" t="s">
        <v>34</v>
      </c>
      <c r="U26">
        <f t="shared" si="0"/>
        <v>0</v>
      </c>
      <c r="V26" t="str">
        <f t="shared" si="1"/>
        <v>MLB</v>
      </c>
      <c r="W26" t="s">
        <v>1354</v>
      </c>
    </row>
    <row r="27" spans="1:23">
      <c r="A27">
        <v>2007</v>
      </c>
      <c r="B27">
        <v>1</v>
      </c>
      <c r="C27">
        <v>26</v>
      </c>
      <c r="D27">
        <v>26</v>
      </c>
      <c r="E27" t="s">
        <v>39</v>
      </c>
      <c r="F27" t="s">
        <v>798</v>
      </c>
      <c r="G27" t="s">
        <v>8</v>
      </c>
      <c r="T27" t="s">
        <v>34</v>
      </c>
      <c r="U27">
        <f t="shared" si="0"/>
        <v>0</v>
      </c>
      <c r="V27" t="s">
        <v>12</v>
      </c>
      <c r="W27">
        <v>-9999</v>
      </c>
    </row>
    <row r="28" spans="1:23">
      <c r="A28">
        <v>2007</v>
      </c>
      <c r="B28">
        <v>1</v>
      </c>
      <c r="C28">
        <v>27</v>
      </c>
      <c r="D28">
        <v>27</v>
      </c>
      <c r="E28" t="s">
        <v>55</v>
      </c>
      <c r="F28" t="s">
        <v>799</v>
      </c>
      <c r="G28" t="s">
        <v>8</v>
      </c>
      <c r="H28">
        <v>18.8</v>
      </c>
      <c r="N28">
        <v>355</v>
      </c>
      <c r="O28">
        <v>150</v>
      </c>
      <c r="P28">
        <v>125</v>
      </c>
      <c r="Q28">
        <v>4.4000000000000004</v>
      </c>
      <c r="R28">
        <v>1.32</v>
      </c>
      <c r="S28">
        <v>0</v>
      </c>
      <c r="T28" t="s">
        <v>52</v>
      </c>
      <c r="U28">
        <f t="shared" si="0"/>
        <v>1</v>
      </c>
      <c r="V28" t="str">
        <f t="shared" si="1"/>
        <v>MLB</v>
      </c>
      <c r="W28" t="s">
        <v>1355</v>
      </c>
    </row>
    <row r="29" spans="1:23">
      <c r="A29">
        <v>2007</v>
      </c>
      <c r="B29">
        <v>1</v>
      </c>
      <c r="C29">
        <v>28</v>
      </c>
      <c r="D29">
        <v>28</v>
      </c>
      <c r="E29" t="s">
        <v>75</v>
      </c>
      <c r="F29" t="s">
        <v>800</v>
      </c>
      <c r="G29" t="s">
        <v>2</v>
      </c>
      <c r="H29">
        <v>7.8</v>
      </c>
      <c r="I29">
        <v>857</v>
      </c>
      <c r="J29">
        <v>3138</v>
      </c>
      <c r="K29">
        <v>7</v>
      </c>
      <c r="L29">
        <v>0.28399999999999997</v>
      </c>
      <c r="M29">
        <v>0.66100000000000003</v>
      </c>
      <c r="T29" t="s">
        <v>52</v>
      </c>
      <c r="U29">
        <f t="shared" si="0"/>
        <v>1</v>
      </c>
      <c r="V29" t="str">
        <f t="shared" si="1"/>
        <v>MLB</v>
      </c>
      <c r="W29" t="s">
        <v>1356</v>
      </c>
    </row>
    <row r="30" spans="1:23">
      <c r="A30">
        <v>2007</v>
      </c>
      <c r="B30">
        <v>1</v>
      </c>
      <c r="C30">
        <v>29</v>
      </c>
      <c r="D30">
        <v>29</v>
      </c>
      <c r="E30" t="s">
        <v>801</v>
      </c>
      <c r="F30" t="s">
        <v>802</v>
      </c>
      <c r="G30" t="s">
        <v>2</v>
      </c>
      <c r="T30" t="s">
        <v>52</v>
      </c>
      <c r="U30">
        <f t="shared" si="0"/>
        <v>1</v>
      </c>
      <c r="V30" t="s">
        <v>13</v>
      </c>
      <c r="W30">
        <v>-9999</v>
      </c>
    </row>
    <row r="31" spans="1:23">
      <c r="A31">
        <v>2007</v>
      </c>
      <c r="B31">
        <v>1</v>
      </c>
      <c r="C31">
        <v>30</v>
      </c>
      <c r="D31">
        <v>30</v>
      </c>
      <c r="E31" t="s">
        <v>85</v>
      </c>
      <c r="F31" t="s">
        <v>803</v>
      </c>
      <c r="G31" t="s">
        <v>8</v>
      </c>
      <c r="H31">
        <v>0.1</v>
      </c>
      <c r="N31">
        <v>3</v>
      </c>
      <c r="O31">
        <v>0</v>
      </c>
      <c r="P31">
        <v>0</v>
      </c>
      <c r="Q31">
        <v>0</v>
      </c>
      <c r="R31">
        <v>1.71</v>
      </c>
      <c r="S31">
        <v>0</v>
      </c>
      <c r="T31" t="s">
        <v>34</v>
      </c>
      <c r="U31">
        <f t="shared" si="0"/>
        <v>0</v>
      </c>
      <c r="V31" t="str">
        <f t="shared" si="1"/>
        <v>MLB</v>
      </c>
      <c r="W31" t="s">
        <v>1357</v>
      </c>
    </row>
    <row r="32" spans="1:23">
      <c r="A32">
        <v>2007</v>
      </c>
      <c r="B32" t="s">
        <v>537</v>
      </c>
      <c r="C32">
        <v>31</v>
      </c>
      <c r="D32">
        <v>31</v>
      </c>
      <c r="E32" t="s">
        <v>53</v>
      </c>
      <c r="F32" t="s">
        <v>804</v>
      </c>
      <c r="G32" t="s">
        <v>9</v>
      </c>
      <c r="H32">
        <v>-0.7</v>
      </c>
      <c r="N32">
        <v>82</v>
      </c>
      <c r="O32">
        <v>4</v>
      </c>
      <c r="P32">
        <v>2</v>
      </c>
      <c r="Q32">
        <v>5.35</v>
      </c>
      <c r="R32">
        <v>1.7</v>
      </c>
      <c r="S32">
        <v>0</v>
      </c>
      <c r="T32" t="s">
        <v>52</v>
      </c>
      <c r="U32">
        <f t="shared" si="0"/>
        <v>1</v>
      </c>
      <c r="V32" t="str">
        <f t="shared" si="1"/>
        <v>MLB</v>
      </c>
      <c r="W32" t="s">
        <v>1358</v>
      </c>
    </row>
    <row r="33" spans="1:23">
      <c r="A33">
        <v>2007</v>
      </c>
      <c r="B33" t="s">
        <v>537</v>
      </c>
      <c r="C33">
        <v>32</v>
      </c>
      <c r="D33">
        <v>32</v>
      </c>
      <c r="E33" t="s">
        <v>59</v>
      </c>
      <c r="F33" t="s">
        <v>805</v>
      </c>
      <c r="G33" t="s">
        <v>0</v>
      </c>
      <c r="H33">
        <v>-1.2</v>
      </c>
      <c r="I33">
        <v>83</v>
      </c>
      <c r="J33">
        <v>145</v>
      </c>
      <c r="K33">
        <v>1</v>
      </c>
      <c r="L33">
        <v>0.193</v>
      </c>
      <c r="M33">
        <v>0.47299999999999998</v>
      </c>
      <c r="T33" t="s">
        <v>52</v>
      </c>
      <c r="U33">
        <f t="shared" si="0"/>
        <v>1</v>
      </c>
      <c r="V33" t="str">
        <f t="shared" si="1"/>
        <v>MLB</v>
      </c>
      <c r="W33" t="s">
        <v>1359</v>
      </c>
    </row>
    <row r="34" spans="1:23">
      <c r="A34">
        <v>2007</v>
      </c>
      <c r="B34" t="s">
        <v>537</v>
      </c>
      <c r="C34">
        <v>33</v>
      </c>
      <c r="D34">
        <v>33</v>
      </c>
      <c r="E34" t="s">
        <v>81</v>
      </c>
      <c r="F34" t="s">
        <v>806</v>
      </c>
      <c r="G34" t="s">
        <v>11</v>
      </c>
      <c r="T34" t="s">
        <v>52</v>
      </c>
      <c r="U34">
        <f t="shared" si="0"/>
        <v>1</v>
      </c>
      <c r="V34" t="s">
        <v>13</v>
      </c>
      <c r="W34">
        <v>-9999</v>
      </c>
    </row>
    <row r="35" spans="1:23">
      <c r="A35">
        <v>2007</v>
      </c>
      <c r="B35" t="s">
        <v>537</v>
      </c>
      <c r="C35">
        <v>34</v>
      </c>
      <c r="D35">
        <v>34</v>
      </c>
      <c r="E35" t="s">
        <v>35</v>
      </c>
      <c r="F35" t="s">
        <v>807</v>
      </c>
      <c r="G35" t="s">
        <v>11</v>
      </c>
      <c r="H35">
        <v>25.8</v>
      </c>
      <c r="I35">
        <v>1244</v>
      </c>
      <c r="J35">
        <v>4392</v>
      </c>
      <c r="K35">
        <v>218</v>
      </c>
      <c r="L35">
        <v>0.24099999999999999</v>
      </c>
      <c r="M35">
        <v>0.76300000000000001</v>
      </c>
      <c r="T35" t="s">
        <v>34</v>
      </c>
      <c r="U35">
        <f t="shared" si="0"/>
        <v>0</v>
      </c>
      <c r="V35" t="str">
        <f t="shared" si="1"/>
        <v>MLB</v>
      </c>
      <c r="W35" t="s">
        <v>1360</v>
      </c>
    </row>
    <row r="36" spans="1:23">
      <c r="A36">
        <v>2007</v>
      </c>
      <c r="B36" t="s">
        <v>537</v>
      </c>
      <c r="C36">
        <v>35</v>
      </c>
      <c r="D36">
        <v>35</v>
      </c>
      <c r="E36" t="s">
        <v>93</v>
      </c>
      <c r="F36" t="s">
        <v>808</v>
      </c>
      <c r="G36" t="s">
        <v>2</v>
      </c>
      <c r="H36">
        <v>1.7</v>
      </c>
      <c r="I36">
        <v>294</v>
      </c>
      <c r="J36">
        <v>802</v>
      </c>
      <c r="K36">
        <v>8</v>
      </c>
      <c r="L36">
        <v>0.27300000000000002</v>
      </c>
      <c r="M36">
        <v>0.66500000000000004</v>
      </c>
      <c r="T36" t="s">
        <v>34</v>
      </c>
      <c r="U36">
        <f t="shared" si="0"/>
        <v>0</v>
      </c>
      <c r="V36" t="str">
        <f t="shared" si="1"/>
        <v>MLB</v>
      </c>
      <c r="W36" t="s">
        <v>1361</v>
      </c>
    </row>
    <row r="37" spans="1:23">
      <c r="A37">
        <v>2007</v>
      </c>
      <c r="B37" t="s">
        <v>537</v>
      </c>
      <c r="C37">
        <v>36</v>
      </c>
      <c r="D37">
        <v>36</v>
      </c>
      <c r="E37" t="s">
        <v>46</v>
      </c>
      <c r="F37" t="s">
        <v>809</v>
      </c>
      <c r="G37" t="s">
        <v>8</v>
      </c>
      <c r="H37">
        <v>-0.5</v>
      </c>
      <c r="N37">
        <v>74</v>
      </c>
      <c r="O37">
        <v>6</v>
      </c>
      <c r="P37">
        <v>11</v>
      </c>
      <c r="Q37">
        <v>4.68</v>
      </c>
      <c r="R37">
        <v>1.44</v>
      </c>
      <c r="S37">
        <v>0</v>
      </c>
      <c r="T37" t="s">
        <v>34</v>
      </c>
      <c r="U37">
        <f t="shared" si="0"/>
        <v>0</v>
      </c>
      <c r="V37" t="str">
        <f t="shared" si="1"/>
        <v>MLB</v>
      </c>
      <c r="W37" t="s">
        <v>1362</v>
      </c>
    </row>
    <row r="38" spans="1:23">
      <c r="A38">
        <v>2007</v>
      </c>
      <c r="B38" t="s">
        <v>537</v>
      </c>
      <c r="C38">
        <v>37</v>
      </c>
      <c r="D38">
        <v>37</v>
      </c>
      <c r="E38" t="s">
        <v>87</v>
      </c>
      <c r="F38" t="s">
        <v>810</v>
      </c>
      <c r="G38" t="s">
        <v>6</v>
      </c>
      <c r="H38">
        <v>8.4</v>
      </c>
      <c r="I38">
        <v>967</v>
      </c>
      <c r="J38">
        <v>3280</v>
      </c>
      <c r="K38">
        <v>130</v>
      </c>
      <c r="L38">
        <v>0.245</v>
      </c>
      <c r="M38">
        <v>0.72499999999999998</v>
      </c>
      <c r="T38" t="s">
        <v>52</v>
      </c>
      <c r="U38">
        <f t="shared" si="0"/>
        <v>1</v>
      </c>
      <c r="V38" t="str">
        <f t="shared" si="1"/>
        <v>MLB</v>
      </c>
      <c r="W38" t="s">
        <v>1363</v>
      </c>
    </row>
    <row r="39" spans="1:23">
      <c r="A39">
        <v>2007</v>
      </c>
      <c r="B39" t="s">
        <v>537</v>
      </c>
      <c r="C39">
        <v>38</v>
      </c>
      <c r="D39">
        <v>38</v>
      </c>
      <c r="E39" t="s">
        <v>73</v>
      </c>
      <c r="F39" t="s">
        <v>811</v>
      </c>
      <c r="G39" t="s">
        <v>9</v>
      </c>
      <c r="H39">
        <v>6.7</v>
      </c>
      <c r="N39">
        <v>443</v>
      </c>
      <c r="O39">
        <v>44</v>
      </c>
      <c r="P39">
        <v>47</v>
      </c>
      <c r="Q39">
        <v>4.29</v>
      </c>
      <c r="R39">
        <v>1.36</v>
      </c>
      <c r="S39">
        <v>12</v>
      </c>
      <c r="T39" t="s">
        <v>34</v>
      </c>
      <c r="U39">
        <f t="shared" si="0"/>
        <v>0</v>
      </c>
      <c r="V39" t="str">
        <f t="shared" si="1"/>
        <v>MLB</v>
      </c>
      <c r="W39" t="s">
        <v>1364</v>
      </c>
    </row>
    <row r="40" spans="1:23">
      <c r="A40">
        <v>2007</v>
      </c>
      <c r="B40" t="s">
        <v>537</v>
      </c>
      <c r="C40">
        <v>39</v>
      </c>
      <c r="D40">
        <v>39</v>
      </c>
      <c r="E40" t="s">
        <v>79</v>
      </c>
      <c r="F40" t="s">
        <v>812</v>
      </c>
      <c r="G40" t="s">
        <v>9</v>
      </c>
      <c r="T40" t="s">
        <v>34</v>
      </c>
      <c r="U40">
        <f t="shared" si="0"/>
        <v>0</v>
      </c>
      <c r="V40" t="s">
        <v>13</v>
      </c>
      <c r="W40">
        <v>-9999</v>
      </c>
    </row>
    <row r="41" spans="1:23">
      <c r="A41">
        <v>2007</v>
      </c>
      <c r="B41" t="s">
        <v>537</v>
      </c>
      <c r="C41">
        <v>40</v>
      </c>
      <c r="D41">
        <v>40</v>
      </c>
      <c r="E41" t="s">
        <v>83</v>
      </c>
      <c r="F41" t="s">
        <v>813</v>
      </c>
      <c r="G41" t="s">
        <v>2</v>
      </c>
      <c r="T41" t="s">
        <v>34</v>
      </c>
      <c r="U41">
        <f t="shared" si="0"/>
        <v>0</v>
      </c>
      <c r="V41" t="s">
        <v>13</v>
      </c>
      <c r="W41">
        <v>-9999</v>
      </c>
    </row>
    <row r="42" spans="1:23">
      <c r="A42">
        <v>2007</v>
      </c>
      <c r="B42" t="s">
        <v>537</v>
      </c>
      <c r="C42">
        <v>41</v>
      </c>
      <c r="D42">
        <v>41</v>
      </c>
      <c r="E42" t="s">
        <v>39</v>
      </c>
      <c r="F42" t="s">
        <v>814</v>
      </c>
      <c r="G42" t="s">
        <v>3</v>
      </c>
      <c r="H42">
        <v>10</v>
      </c>
      <c r="I42">
        <v>189</v>
      </c>
      <c r="J42">
        <v>4</v>
      </c>
      <c r="K42">
        <v>0</v>
      </c>
      <c r="L42">
        <v>0</v>
      </c>
      <c r="M42">
        <v>0</v>
      </c>
      <c r="N42">
        <v>463</v>
      </c>
      <c r="O42">
        <v>26</v>
      </c>
      <c r="P42">
        <v>24</v>
      </c>
      <c r="Q42">
        <v>3.2</v>
      </c>
      <c r="R42">
        <v>1.01</v>
      </c>
      <c r="S42">
        <v>112</v>
      </c>
      <c r="T42" t="s">
        <v>34</v>
      </c>
      <c r="U42">
        <f t="shared" si="0"/>
        <v>0</v>
      </c>
      <c r="V42" t="str">
        <f t="shared" si="1"/>
        <v>MLB</v>
      </c>
      <c r="W42" t="s">
        <v>1365</v>
      </c>
    </row>
    <row r="43" spans="1:23">
      <c r="A43">
        <v>2007</v>
      </c>
      <c r="B43" t="s">
        <v>537</v>
      </c>
      <c r="C43">
        <v>42</v>
      </c>
      <c r="D43">
        <v>42</v>
      </c>
      <c r="E43" t="s">
        <v>71</v>
      </c>
      <c r="F43" t="s">
        <v>815</v>
      </c>
      <c r="G43" t="s">
        <v>8</v>
      </c>
      <c r="H43">
        <v>-0.2</v>
      </c>
      <c r="T43" t="s">
        <v>34</v>
      </c>
      <c r="U43">
        <f t="shared" si="0"/>
        <v>0</v>
      </c>
      <c r="V43" t="str">
        <f t="shared" si="1"/>
        <v>MLB</v>
      </c>
      <c r="W43" t="s">
        <v>1366</v>
      </c>
    </row>
    <row r="44" spans="1:23">
      <c r="A44">
        <v>2007</v>
      </c>
      <c r="B44" t="s">
        <v>537</v>
      </c>
      <c r="C44">
        <v>43</v>
      </c>
      <c r="D44">
        <v>43</v>
      </c>
      <c r="E44" t="s">
        <v>59</v>
      </c>
      <c r="F44" t="s">
        <v>816</v>
      </c>
      <c r="G44" t="s">
        <v>6</v>
      </c>
      <c r="H44">
        <v>0.1</v>
      </c>
      <c r="I44">
        <v>14</v>
      </c>
      <c r="J44">
        <v>24</v>
      </c>
      <c r="K44">
        <v>1</v>
      </c>
      <c r="L44">
        <v>0.20799999999999999</v>
      </c>
      <c r="M44">
        <v>0.74199999999999999</v>
      </c>
      <c r="T44" t="s">
        <v>34</v>
      </c>
      <c r="U44">
        <f t="shared" si="0"/>
        <v>0</v>
      </c>
      <c r="V44" t="str">
        <f t="shared" si="1"/>
        <v>MLB</v>
      </c>
      <c r="W44" t="s">
        <v>1367</v>
      </c>
    </row>
    <row r="45" spans="1:23">
      <c r="A45">
        <v>2007</v>
      </c>
      <c r="B45" t="s">
        <v>537</v>
      </c>
      <c r="C45">
        <v>44</v>
      </c>
      <c r="D45">
        <v>44</v>
      </c>
      <c r="E45" t="s">
        <v>93</v>
      </c>
      <c r="F45" t="s">
        <v>817</v>
      </c>
      <c r="G45" t="s">
        <v>8</v>
      </c>
      <c r="H45">
        <v>0.3</v>
      </c>
      <c r="N45">
        <v>185</v>
      </c>
      <c r="O45">
        <v>4</v>
      </c>
      <c r="P45">
        <v>8</v>
      </c>
      <c r="Q45">
        <v>4.46</v>
      </c>
      <c r="R45">
        <v>1.42</v>
      </c>
      <c r="S45">
        <v>3</v>
      </c>
      <c r="T45" t="s">
        <v>52</v>
      </c>
      <c r="U45">
        <f t="shared" si="0"/>
        <v>1</v>
      </c>
      <c r="V45" t="str">
        <f t="shared" si="1"/>
        <v>MLB</v>
      </c>
      <c r="W45" t="s">
        <v>1368</v>
      </c>
    </row>
    <row r="46" spans="1:23">
      <c r="A46">
        <v>2007</v>
      </c>
      <c r="B46" t="s">
        <v>537</v>
      </c>
      <c r="C46">
        <v>45</v>
      </c>
      <c r="D46">
        <v>45</v>
      </c>
      <c r="E46" t="s">
        <v>73</v>
      </c>
      <c r="F46" t="s">
        <v>818</v>
      </c>
      <c r="G46" t="s">
        <v>5</v>
      </c>
      <c r="T46" t="s">
        <v>52</v>
      </c>
      <c r="U46">
        <f t="shared" si="0"/>
        <v>1</v>
      </c>
      <c r="V46" t="s">
        <v>13</v>
      </c>
      <c r="W46">
        <v>-9999</v>
      </c>
    </row>
    <row r="47" spans="1:23">
      <c r="A47">
        <v>2007</v>
      </c>
      <c r="B47" t="s">
        <v>537</v>
      </c>
      <c r="C47">
        <v>46</v>
      </c>
      <c r="D47">
        <v>46</v>
      </c>
      <c r="E47" t="s">
        <v>83</v>
      </c>
      <c r="F47" t="s">
        <v>819</v>
      </c>
      <c r="G47" t="s">
        <v>5</v>
      </c>
      <c r="T47" t="s">
        <v>52</v>
      </c>
      <c r="U47">
        <f t="shared" si="0"/>
        <v>1</v>
      </c>
      <c r="V47" t="s">
        <v>13</v>
      </c>
      <c r="W47">
        <v>-9999</v>
      </c>
    </row>
    <row r="48" spans="1:23">
      <c r="A48">
        <v>2007</v>
      </c>
      <c r="B48" t="s">
        <v>537</v>
      </c>
      <c r="C48">
        <v>47</v>
      </c>
      <c r="D48">
        <v>47</v>
      </c>
      <c r="E48" t="s">
        <v>71</v>
      </c>
      <c r="F48" t="s">
        <v>820</v>
      </c>
      <c r="G48" t="s">
        <v>9</v>
      </c>
      <c r="T48" t="s">
        <v>52</v>
      </c>
      <c r="U48">
        <f t="shared" si="0"/>
        <v>1</v>
      </c>
      <c r="V48" t="s">
        <v>1114</v>
      </c>
      <c r="W48">
        <v>-9999</v>
      </c>
    </row>
    <row r="49" spans="1:23">
      <c r="A49">
        <v>2007</v>
      </c>
      <c r="B49" t="s">
        <v>537</v>
      </c>
      <c r="C49">
        <v>48</v>
      </c>
      <c r="D49">
        <v>48</v>
      </c>
      <c r="E49" t="s">
        <v>61</v>
      </c>
      <c r="F49" t="s">
        <v>821</v>
      </c>
      <c r="G49" t="s">
        <v>6</v>
      </c>
      <c r="H49">
        <v>46.8</v>
      </c>
      <c r="I49">
        <v>1383</v>
      </c>
      <c r="J49">
        <v>5022</v>
      </c>
      <c r="K49">
        <v>279</v>
      </c>
      <c r="L49">
        <v>0.26100000000000001</v>
      </c>
      <c r="M49">
        <v>0.84699999999999998</v>
      </c>
      <c r="T49" t="s">
        <v>34</v>
      </c>
      <c r="U49">
        <f t="shared" si="0"/>
        <v>0</v>
      </c>
      <c r="V49" t="str">
        <f t="shared" si="1"/>
        <v>MLB</v>
      </c>
      <c r="W49" t="s">
        <v>1369</v>
      </c>
    </row>
    <row r="50" spans="1:23">
      <c r="A50">
        <v>2007</v>
      </c>
      <c r="B50" t="s">
        <v>537</v>
      </c>
      <c r="C50">
        <v>49</v>
      </c>
      <c r="D50">
        <v>49</v>
      </c>
      <c r="E50" t="s">
        <v>53</v>
      </c>
      <c r="F50" t="s">
        <v>822</v>
      </c>
      <c r="G50" t="s">
        <v>2</v>
      </c>
      <c r="T50" t="s">
        <v>52</v>
      </c>
      <c r="U50">
        <f t="shared" si="0"/>
        <v>1</v>
      </c>
      <c r="V50" t="s">
        <v>12</v>
      </c>
      <c r="W50">
        <v>-9999</v>
      </c>
    </row>
    <row r="51" spans="1:23">
      <c r="A51">
        <v>2007</v>
      </c>
      <c r="B51" t="s">
        <v>537</v>
      </c>
      <c r="C51">
        <v>50</v>
      </c>
      <c r="D51">
        <v>50</v>
      </c>
      <c r="E51" t="s">
        <v>91</v>
      </c>
      <c r="F51" t="s">
        <v>823</v>
      </c>
      <c r="G51" t="s">
        <v>8</v>
      </c>
      <c r="T51" t="s">
        <v>34</v>
      </c>
      <c r="U51">
        <f t="shared" si="0"/>
        <v>0</v>
      </c>
      <c r="V51" t="s">
        <v>12</v>
      </c>
      <c r="W51">
        <v>-9999</v>
      </c>
    </row>
    <row r="52" spans="1:23">
      <c r="V52" t="str">
        <f t="shared" si="1"/>
        <v/>
      </c>
    </row>
    <row r="53" spans="1:23">
      <c r="V53" t="str">
        <f t="shared" si="1"/>
        <v/>
      </c>
    </row>
    <row r="54" spans="1:23">
      <c r="V54" t="str">
        <f t="shared" si="1"/>
        <v/>
      </c>
    </row>
    <row r="55" spans="1:23">
      <c r="V55" t="str">
        <f t="shared" si="1"/>
        <v/>
      </c>
    </row>
    <row r="56" spans="1:23">
      <c r="V56" t="str">
        <f t="shared" si="1"/>
        <v/>
      </c>
    </row>
    <row r="57" spans="1:23">
      <c r="V57" t="str">
        <f t="shared" si="1"/>
        <v/>
      </c>
    </row>
    <row r="58" spans="1:23">
      <c r="V58" t="str">
        <f t="shared" si="1"/>
        <v/>
      </c>
    </row>
    <row r="59" spans="1:23">
      <c r="V59" t="str">
        <f t="shared" si="1"/>
        <v/>
      </c>
    </row>
    <row r="60" spans="1:23">
      <c r="V60" t="str">
        <f t="shared" si="1"/>
        <v/>
      </c>
    </row>
    <row r="61" spans="1:23">
      <c r="V61" t="str">
        <f t="shared" si="1"/>
        <v/>
      </c>
    </row>
    <row r="62" spans="1:23">
      <c r="V62" t="str">
        <f t="shared" si="1"/>
        <v/>
      </c>
    </row>
    <row r="63" spans="1:23">
      <c r="V63" t="str">
        <f t="shared" si="1"/>
        <v/>
      </c>
    </row>
    <row r="64" spans="1:23">
      <c r="V64" t="str">
        <f t="shared" si="1"/>
        <v/>
      </c>
    </row>
    <row r="65" spans="22:22">
      <c r="V65" t="str">
        <f t="shared" si="1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72A09-1C3D-49BB-AA99-F3A01E85524E}">
  <dimension ref="A1:W47"/>
  <sheetViews>
    <sheetView topLeftCell="A40" workbookViewId="0">
      <selection activeCell="V49" sqref="V49"/>
    </sheetView>
  </sheetViews>
  <sheetFormatPr defaultRowHeight="14.5"/>
  <cols>
    <col min="1" max="1" width="4.81640625" bestFit="1" customWidth="1"/>
    <col min="2" max="2" width="3.90625" bestFit="1" customWidth="1"/>
    <col min="3" max="3" width="6" bestFit="1" customWidth="1"/>
    <col min="4" max="4" width="5.90625" bestFit="1" customWidth="1"/>
    <col min="5" max="5" width="13.81640625" bestFit="1" customWidth="1"/>
    <col min="6" max="6" width="24" bestFit="1" customWidth="1"/>
    <col min="7" max="7" width="4.26953125" bestFit="1" customWidth="1"/>
    <col min="8" max="10" width="4.81640625" bestFit="1" customWidth="1"/>
    <col min="11" max="11" width="3.81640625" bestFit="1" customWidth="1"/>
    <col min="12" max="13" width="5.81640625" bestFit="1" customWidth="1"/>
    <col min="14" max="16" width="3.81640625" bestFit="1" customWidth="1"/>
    <col min="17" max="17" width="5.81640625" bestFit="1" customWidth="1"/>
    <col min="18" max="18" width="5.26953125" bestFit="1" customWidth="1"/>
    <col min="19" max="19" width="2.90625" bestFit="1" customWidth="1"/>
    <col min="20" max="20" width="4.54296875" bestFit="1" customWidth="1"/>
    <col min="21" max="21" width="4" bestFit="1" customWidth="1"/>
  </cols>
  <sheetData>
    <row r="1" spans="1:23">
      <c r="A1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>
        <v>2008</v>
      </c>
      <c r="B2">
        <v>1</v>
      </c>
      <c r="C2">
        <v>1</v>
      </c>
      <c r="D2">
        <v>1</v>
      </c>
      <c r="E2" t="s">
        <v>69</v>
      </c>
      <c r="F2" t="s">
        <v>722</v>
      </c>
      <c r="G2" t="s">
        <v>5</v>
      </c>
      <c r="H2">
        <v>3.9</v>
      </c>
      <c r="I2">
        <v>484</v>
      </c>
      <c r="J2">
        <v>1639</v>
      </c>
      <c r="K2">
        <v>63</v>
      </c>
      <c r="L2">
        <v>0.246</v>
      </c>
      <c r="M2">
        <v>0.72399999999999998</v>
      </c>
      <c r="T2" t="s">
        <v>52</v>
      </c>
      <c r="U2">
        <f>IF(ISNUMBER(SEARCH("HS",T2)),1,0)</f>
        <v>1</v>
      </c>
      <c r="V2" t="str">
        <f>IF(ISNUMBER(H2),"MLB","")</f>
        <v>MLB</v>
      </c>
      <c r="W2" t="s">
        <v>1370</v>
      </c>
    </row>
    <row r="3" spans="1:23">
      <c r="A3">
        <v>2008</v>
      </c>
      <c r="B3">
        <v>1</v>
      </c>
      <c r="C3">
        <v>2</v>
      </c>
      <c r="D3">
        <v>2</v>
      </c>
      <c r="E3" t="s">
        <v>50</v>
      </c>
      <c r="F3" t="s">
        <v>723</v>
      </c>
      <c r="G3" t="s">
        <v>11</v>
      </c>
      <c r="H3">
        <v>4.9000000000000004</v>
      </c>
      <c r="I3">
        <v>910</v>
      </c>
      <c r="J3">
        <v>2980</v>
      </c>
      <c r="K3">
        <v>162</v>
      </c>
      <c r="L3">
        <v>0.23599999999999999</v>
      </c>
      <c r="M3">
        <v>0.75700000000000001</v>
      </c>
      <c r="T3" t="s">
        <v>34</v>
      </c>
      <c r="U3">
        <f t="shared" ref="U3:U47" si="0">IF(ISNUMBER(SEARCH("HS",T3)),1,0)</f>
        <v>0</v>
      </c>
      <c r="V3" t="str">
        <f t="shared" ref="V3:V47" si="1">IF(ISNUMBER(H3),"MLB","")</f>
        <v>MLB</v>
      </c>
      <c r="W3" t="s">
        <v>1371</v>
      </c>
    </row>
    <row r="4" spans="1:23">
      <c r="A4">
        <v>2008</v>
      </c>
      <c r="B4">
        <v>1</v>
      </c>
      <c r="C4">
        <v>3</v>
      </c>
      <c r="D4">
        <v>3</v>
      </c>
      <c r="E4" t="s">
        <v>43</v>
      </c>
      <c r="F4" t="s">
        <v>724</v>
      </c>
      <c r="G4" t="s">
        <v>3</v>
      </c>
      <c r="H4">
        <v>19.100000000000001</v>
      </c>
      <c r="I4">
        <v>1689</v>
      </c>
      <c r="J4">
        <v>6349</v>
      </c>
      <c r="K4">
        <v>198</v>
      </c>
      <c r="L4">
        <v>0.27600000000000002</v>
      </c>
      <c r="M4">
        <v>0.76200000000000001</v>
      </c>
      <c r="T4" t="s">
        <v>52</v>
      </c>
      <c r="U4">
        <f t="shared" si="0"/>
        <v>1</v>
      </c>
      <c r="V4" t="str">
        <f t="shared" si="1"/>
        <v>MLB</v>
      </c>
      <c r="W4" t="s">
        <v>1372</v>
      </c>
    </row>
    <row r="5" spans="1:23">
      <c r="A5">
        <v>2008</v>
      </c>
      <c r="B5">
        <v>1</v>
      </c>
      <c r="C5">
        <v>4</v>
      </c>
      <c r="D5">
        <v>4</v>
      </c>
      <c r="E5" t="s">
        <v>77</v>
      </c>
      <c r="F5" t="s">
        <v>725</v>
      </c>
      <c r="G5" t="s">
        <v>9</v>
      </c>
      <c r="H5">
        <v>2.1</v>
      </c>
      <c r="N5">
        <v>280</v>
      </c>
      <c r="O5">
        <v>27</v>
      </c>
      <c r="P5">
        <v>41</v>
      </c>
      <c r="Q5">
        <v>4.92</v>
      </c>
      <c r="R5">
        <v>1.46</v>
      </c>
      <c r="S5">
        <v>0</v>
      </c>
      <c r="T5" t="s">
        <v>34</v>
      </c>
      <c r="U5">
        <f t="shared" si="0"/>
        <v>0</v>
      </c>
      <c r="V5" t="str">
        <f t="shared" si="1"/>
        <v>MLB</v>
      </c>
      <c r="W5" t="s">
        <v>1373</v>
      </c>
    </row>
    <row r="6" spans="1:23">
      <c r="A6">
        <v>2008</v>
      </c>
      <c r="B6">
        <v>1</v>
      </c>
      <c r="C6">
        <v>5</v>
      </c>
      <c r="D6">
        <v>5</v>
      </c>
      <c r="E6" t="s">
        <v>59</v>
      </c>
      <c r="F6" t="s">
        <v>726</v>
      </c>
      <c r="G6" t="s">
        <v>6</v>
      </c>
      <c r="H6">
        <v>45</v>
      </c>
      <c r="I6">
        <v>1371</v>
      </c>
      <c r="J6">
        <v>4970</v>
      </c>
      <c r="K6">
        <v>158</v>
      </c>
      <c r="L6">
        <v>0.30199999999999999</v>
      </c>
      <c r="M6">
        <v>0.83099999999999996</v>
      </c>
      <c r="T6" t="s">
        <v>34</v>
      </c>
      <c r="U6">
        <f t="shared" si="0"/>
        <v>0</v>
      </c>
      <c r="V6" t="str">
        <f t="shared" si="1"/>
        <v>MLB</v>
      </c>
      <c r="W6" t="s">
        <v>1374</v>
      </c>
    </row>
    <row r="7" spans="1:23">
      <c r="A7">
        <v>2008</v>
      </c>
      <c r="B7">
        <v>1</v>
      </c>
      <c r="C7">
        <v>6</v>
      </c>
      <c r="D7">
        <v>6</v>
      </c>
      <c r="E7" t="s">
        <v>65</v>
      </c>
      <c r="F7" t="s">
        <v>727</v>
      </c>
      <c r="G7" t="s">
        <v>6</v>
      </c>
      <c r="H7">
        <v>-0.1</v>
      </c>
      <c r="I7">
        <v>4</v>
      </c>
      <c r="J7">
        <v>3</v>
      </c>
      <c r="K7">
        <v>0</v>
      </c>
      <c r="L7">
        <v>0</v>
      </c>
      <c r="M7">
        <v>0.25</v>
      </c>
      <c r="T7" t="s">
        <v>52</v>
      </c>
      <c r="U7">
        <f t="shared" si="0"/>
        <v>1</v>
      </c>
      <c r="V7" t="str">
        <f t="shared" si="1"/>
        <v>MLB</v>
      </c>
      <c r="W7" t="s">
        <v>1375</v>
      </c>
    </row>
    <row r="8" spans="1:23">
      <c r="A8">
        <v>2008</v>
      </c>
      <c r="B8">
        <v>1</v>
      </c>
      <c r="C8">
        <v>7</v>
      </c>
      <c r="D8">
        <v>7</v>
      </c>
      <c r="E8" t="s">
        <v>35</v>
      </c>
      <c r="F8" t="s">
        <v>728</v>
      </c>
      <c r="G8" t="s">
        <v>3</v>
      </c>
      <c r="H8">
        <v>8.6</v>
      </c>
      <c r="I8">
        <v>1072</v>
      </c>
      <c r="J8">
        <v>3362</v>
      </c>
      <c r="K8">
        <v>100</v>
      </c>
      <c r="L8">
        <v>0.25900000000000001</v>
      </c>
      <c r="M8">
        <v>0.73599999999999999</v>
      </c>
      <c r="T8" t="s">
        <v>34</v>
      </c>
      <c r="U8">
        <f t="shared" si="0"/>
        <v>0</v>
      </c>
      <c r="V8" t="str">
        <f t="shared" si="1"/>
        <v>MLB</v>
      </c>
      <c r="W8" t="s">
        <v>1376</v>
      </c>
    </row>
    <row r="9" spans="1:23">
      <c r="A9">
        <v>2008</v>
      </c>
      <c r="B9">
        <v>1</v>
      </c>
      <c r="C9">
        <v>8</v>
      </c>
      <c r="D9">
        <v>8</v>
      </c>
      <c r="E9" t="s">
        <v>41</v>
      </c>
      <c r="F9" t="s">
        <v>729</v>
      </c>
      <c r="G9" t="s">
        <v>5</v>
      </c>
      <c r="H9">
        <v>5.6</v>
      </c>
      <c r="I9">
        <v>1069</v>
      </c>
      <c r="J9">
        <v>3403</v>
      </c>
      <c r="K9">
        <v>80</v>
      </c>
      <c r="L9">
        <v>0.23699999999999999</v>
      </c>
      <c r="M9">
        <v>0.66700000000000004</v>
      </c>
      <c r="T9" t="s">
        <v>34</v>
      </c>
      <c r="U9">
        <f t="shared" si="0"/>
        <v>0</v>
      </c>
      <c r="V9" t="str">
        <f t="shared" si="1"/>
        <v>MLB</v>
      </c>
      <c r="W9" t="s">
        <v>1377</v>
      </c>
    </row>
    <row r="10" spans="1:23">
      <c r="A10">
        <v>2008</v>
      </c>
      <c r="B10">
        <v>1</v>
      </c>
      <c r="C10">
        <v>9</v>
      </c>
      <c r="D10">
        <v>9</v>
      </c>
      <c r="E10" t="s">
        <v>53</v>
      </c>
      <c r="F10" t="s">
        <v>679</v>
      </c>
      <c r="G10" t="s">
        <v>8</v>
      </c>
      <c r="H10">
        <v>2.7</v>
      </c>
      <c r="N10">
        <v>254</v>
      </c>
      <c r="O10">
        <v>20</v>
      </c>
      <c r="P10">
        <v>11</v>
      </c>
      <c r="Q10">
        <v>3.43</v>
      </c>
      <c r="R10">
        <v>1.32</v>
      </c>
      <c r="S10">
        <v>6</v>
      </c>
      <c r="T10" t="s">
        <v>34</v>
      </c>
      <c r="U10">
        <f t="shared" si="0"/>
        <v>0</v>
      </c>
      <c r="V10" t="str">
        <f t="shared" si="1"/>
        <v>MLB</v>
      </c>
      <c r="W10" t="s">
        <v>1378</v>
      </c>
    </row>
    <row r="11" spans="1:23">
      <c r="A11">
        <v>2008</v>
      </c>
      <c r="B11">
        <v>1</v>
      </c>
      <c r="C11">
        <v>10</v>
      </c>
      <c r="D11">
        <v>10</v>
      </c>
      <c r="E11" t="s">
        <v>89</v>
      </c>
      <c r="F11" t="s">
        <v>730</v>
      </c>
      <c r="G11" t="s">
        <v>6</v>
      </c>
      <c r="H11">
        <v>12</v>
      </c>
      <c r="I11">
        <v>952</v>
      </c>
      <c r="J11">
        <v>2981</v>
      </c>
      <c r="K11">
        <v>97</v>
      </c>
      <c r="L11">
        <v>0.22700000000000001</v>
      </c>
      <c r="M11">
        <v>0.69899999999999995</v>
      </c>
      <c r="T11" t="s">
        <v>34</v>
      </c>
      <c r="U11">
        <f t="shared" si="0"/>
        <v>0</v>
      </c>
      <c r="V11" t="str">
        <f t="shared" si="1"/>
        <v>MLB</v>
      </c>
      <c r="W11" t="s">
        <v>1379</v>
      </c>
    </row>
    <row r="12" spans="1:23">
      <c r="A12">
        <v>2008</v>
      </c>
      <c r="B12">
        <v>1</v>
      </c>
      <c r="C12">
        <v>11</v>
      </c>
      <c r="D12">
        <v>11</v>
      </c>
      <c r="E12" t="s">
        <v>93</v>
      </c>
      <c r="F12" t="s">
        <v>731</v>
      </c>
      <c r="G12" t="s">
        <v>3</v>
      </c>
      <c r="H12">
        <v>6.8</v>
      </c>
      <c r="I12">
        <v>1286</v>
      </c>
      <c r="J12">
        <v>4153</v>
      </c>
      <c r="K12">
        <v>196</v>
      </c>
      <c r="L12">
        <v>0.22900000000000001</v>
      </c>
      <c r="M12">
        <v>0.74</v>
      </c>
      <c r="T12" t="s">
        <v>34</v>
      </c>
      <c r="U12">
        <f t="shared" si="0"/>
        <v>0</v>
      </c>
      <c r="V12" t="str">
        <f t="shared" si="1"/>
        <v>MLB</v>
      </c>
      <c r="W12" t="s">
        <v>1380</v>
      </c>
    </row>
    <row r="13" spans="1:23">
      <c r="A13">
        <v>2008</v>
      </c>
      <c r="B13">
        <v>1</v>
      </c>
      <c r="C13">
        <v>12</v>
      </c>
      <c r="D13">
        <v>12</v>
      </c>
      <c r="E13" t="s">
        <v>39</v>
      </c>
      <c r="F13" t="s">
        <v>732</v>
      </c>
      <c r="G13" t="s">
        <v>0</v>
      </c>
      <c r="H13">
        <v>1.5</v>
      </c>
      <c r="I13">
        <v>260</v>
      </c>
      <c r="J13">
        <v>955</v>
      </c>
      <c r="K13">
        <v>4</v>
      </c>
      <c r="L13">
        <v>0.254</v>
      </c>
      <c r="M13">
        <v>0.66700000000000004</v>
      </c>
      <c r="T13" t="s">
        <v>34</v>
      </c>
      <c r="U13">
        <f t="shared" si="0"/>
        <v>0</v>
      </c>
      <c r="V13" t="str">
        <f t="shared" si="1"/>
        <v>MLB</v>
      </c>
      <c r="W13" t="s">
        <v>1381</v>
      </c>
    </row>
    <row r="14" spans="1:23">
      <c r="A14">
        <v>2008</v>
      </c>
      <c r="B14">
        <v>1</v>
      </c>
      <c r="C14">
        <v>13</v>
      </c>
      <c r="D14">
        <v>13</v>
      </c>
      <c r="E14" t="s">
        <v>46</v>
      </c>
      <c r="F14" t="s">
        <v>733</v>
      </c>
      <c r="G14" t="s">
        <v>3</v>
      </c>
      <c r="H14">
        <v>-0.1</v>
      </c>
      <c r="I14">
        <v>494</v>
      </c>
      <c r="J14">
        <v>1284</v>
      </c>
      <c r="K14">
        <v>40</v>
      </c>
      <c r="L14">
        <v>0.23799999999999999</v>
      </c>
      <c r="M14">
        <v>0.70499999999999996</v>
      </c>
      <c r="T14" t="s">
        <v>34</v>
      </c>
      <c r="U14">
        <f t="shared" si="0"/>
        <v>0</v>
      </c>
      <c r="V14" t="str">
        <f t="shared" si="1"/>
        <v>MLB</v>
      </c>
      <c r="W14" t="s">
        <v>1382</v>
      </c>
    </row>
    <row r="15" spans="1:23">
      <c r="A15">
        <v>2008</v>
      </c>
      <c r="B15">
        <v>1</v>
      </c>
      <c r="C15">
        <v>14</v>
      </c>
      <c r="D15">
        <v>14</v>
      </c>
      <c r="E15" t="s">
        <v>75</v>
      </c>
      <c r="F15" t="s">
        <v>734</v>
      </c>
      <c r="G15" t="s">
        <v>2</v>
      </c>
      <c r="H15">
        <v>13.2</v>
      </c>
      <c r="I15">
        <v>981</v>
      </c>
      <c r="J15">
        <v>3135</v>
      </c>
      <c r="K15">
        <v>109</v>
      </c>
      <c r="L15">
        <v>0.23100000000000001</v>
      </c>
      <c r="M15">
        <v>0.71299999999999997</v>
      </c>
      <c r="T15" t="s">
        <v>52</v>
      </c>
      <c r="U15">
        <f t="shared" si="0"/>
        <v>1</v>
      </c>
      <c r="V15" t="str">
        <f t="shared" si="1"/>
        <v>MLB</v>
      </c>
      <c r="W15" t="s">
        <v>1383</v>
      </c>
    </row>
    <row r="16" spans="1:23">
      <c r="A16">
        <v>2008</v>
      </c>
      <c r="B16">
        <v>1</v>
      </c>
      <c r="C16">
        <v>15</v>
      </c>
      <c r="D16">
        <v>15</v>
      </c>
      <c r="E16" t="s">
        <v>79</v>
      </c>
      <c r="F16" t="s">
        <v>735</v>
      </c>
      <c r="G16" t="s">
        <v>8</v>
      </c>
      <c r="H16">
        <v>-0.6</v>
      </c>
      <c r="N16">
        <v>17</v>
      </c>
      <c r="O16">
        <v>2</v>
      </c>
      <c r="P16">
        <v>5</v>
      </c>
      <c r="Q16">
        <v>5.93</v>
      </c>
      <c r="R16">
        <v>1.64</v>
      </c>
      <c r="S16">
        <v>0</v>
      </c>
      <c r="T16" t="s">
        <v>52</v>
      </c>
      <c r="U16">
        <f t="shared" si="0"/>
        <v>1</v>
      </c>
      <c r="V16" t="str">
        <f t="shared" si="1"/>
        <v>MLB</v>
      </c>
      <c r="W16" t="s">
        <v>1384</v>
      </c>
    </row>
    <row r="17" spans="1:23">
      <c r="A17">
        <v>2008</v>
      </c>
      <c r="B17">
        <v>1</v>
      </c>
      <c r="C17">
        <v>16</v>
      </c>
      <c r="D17">
        <v>16</v>
      </c>
      <c r="E17" t="s">
        <v>67</v>
      </c>
      <c r="F17" t="s">
        <v>736</v>
      </c>
      <c r="G17" t="s">
        <v>11</v>
      </c>
      <c r="H17">
        <v>15.6</v>
      </c>
      <c r="I17">
        <v>588</v>
      </c>
      <c r="J17">
        <v>2217</v>
      </c>
      <c r="K17">
        <v>71</v>
      </c>
      <c r="L17">
        <v>0.26100000000000001</v>
      </c>
      <c r="M17">
        <v>0.73399999999999999</v>
      </c>
      <c r="T17" t="s">
        <v>52</v>
      </c>
      <c r="U17">
        <f t="shared" si="0"/>
        <v>1</v>
      </c>
      <c r="V17" t="str">
        <f t="shared" si="1"/>
        <v>MLB</v>
      </c>
      <c r="W17" t="s">
        <v>1385</v>
      </c>
    </row>
    <row r="18" spans="1:23">
      <c r="A18">
        <v>2008</v>
      </c>
      <c r="B18">
        <v>1</v>
      </c>
      <c r="C18">
        <v>17</v>
      </c>
      <c r="D18">
        <v>17</v>
      </c>
      <c r="E18" t="s">
        <v>73</v>
      </c>
      <c r="F18" t="s">
        <v>737</v>
      </c>
      <c r="G18" t="s">
        <v>3</v>
      </c>
      <c r="H18">
        <v>0.1</v>
      </c>
      <c r="I18">
        <v>72</v>
      </c>
      <c r="J18">
        <v>211</v>
      </c>
      <c r="K18">
        <v>6</v>
      </c>
      <c r="L18">
        <v>0.27</v>
      </c>
      <c r="M18">
        <v>0.75</v>
      </c>
      <c r="T18" t="s">
        <v>34</v>
      </c>
      <c r="U18">
        <f t="shared" si="0"/>
        <v>0</v>
      </c>
      <c r="V18" t="str">
        <f t="shared" si="1"/>
        <v>MLB</v>
      </c>
      <c r="W18" t="s">
        <v>1386</v>
      </c>
    </row>
    <row r="19" spans="1:23">
      <c r="A19">
        <v>2008</v>
      </c>
      <c r="B19">
        <v>1</v>
      </c>
      <c r="C19">
        <v>18</v>
      </c>
      <c r="D19">
        <v>18</v>
      </c>
      <c r="E19" t="s">
        <v>738</v>
      </c>
      <c r="F19" t="s">
        <v>739</v>
      </c>
      <c r="G19" t="s">
        <v>3</v>
      </c>
      <c r="H19">
        <v>5.6</v>
      </c>
      <c r="I19">
        <v>665</v>
      </c>
      <c r="J19">
        <v>2076</v>
      </c>
      <c r="K19">
        <v>81</v>
      </c>
      <c r="L19">
        <v>0.23899999999999999</v>
      </c>
      <c r="M19">
        <v>0.746</v>
      </c>
      <c r="T19" t="s">
        <v>34</v>
      </c>
      <c r="U19">
        <f t="shared" si="0"/>
        <v>0</v>
      </c>
      <c r="V19" t="str">
        <f t="shared" si="1"/>
        <v>MLB</v>
      </c>
      <c r="W19" t="s">
        <v>1387</v>
      </c>
    </row>
    <row r="20" spans="1:23">
      <c r="A20">
        <v>2008</v>
      </c>
      <c r="B20">
        <v>1</v>
      </c>
      <c r="C20">
        <v>19</v>
      </c>
      <c r="D20">
        <v>19</v>
      </c>
      <c r="E20" t="s">
        <v>61</v>
      </c>
      <c r="F20" t="s">
        <v>740</v>
      </c>
      <c r="G20" t="s">
        <v>8</v>
      </c>
      <c r="H20">
        <v>10.9</v>
      </c>
      <c r="N20">
        <v>300</v>
      </c>
      <c r="O20">
        <v>57</v>
      </c>
      <c r="P20">
        <v>87</v>
      </c>
      <c r="Q20">
        <v>4.0999999999999996</v>
      </c>
      <c r="R20">
        <v>1.36</v>
      </c>
      <c r="S20">
        <v>1</v>
      </c>
      <c r="T20" t="s">
        <v>34</v>
      </c>
      <c r="U20">
        <f t="shared" si="0"/>
        <v>0</v>
      </c>
      <c r="V20" t="str">
        <f t="shared" si="1"/>
        <v>MLB</v>
      </c>
      <c r="W20" t="s">
        <v>1388</v>
      </c>
    </row>
    <row r="21" spans="1:23">
      <c r="A21">
        <v>2008</v>
      </c>
      <c r="B21">
        <v>1</v>
      </c>
      <c r="C21">
        <v>20</v>
      </c>
      <c r="D21">
        <v>20</v>
      </c>
      <c r="E21" t="s">
        <v>63</v>
      </c>
      <c r="F21" t="s">
        <v>741</v>
      </c>
      <c r="G21" t="s">
        <v>8</v>
      </c>
      <c r="H21">
        <v>1.8</v>
      </c>
      <c r="N21">
        <v>288</v>
      </c>
      <c r="O21">
        <v>17</v>
      </c>
      <c r="P21">
        <v>12</v>
      </c>
      <c r="Q21">
        <v>3.71</v>
      </c>
      <c r="R21">
        <v>1.17</v>
      </c>
      <c r="S21">
        <v>13</v>
      </c>
      <c r="T21" t="s">
        <v>34</v>
      </c>
      <c r="U21">
        <f t="shared" si="0"/>
        <v>0</v>
      </c>
      <c r="V21" t="str">
        <f t="shared" si="1"/>
        <v>MLB</v>
      </c>
      <c r="W21" t="s">
        <v>1389</v>
      </c>
    </row>
    <row r="22" spans="1:23">
      <c r="A22">
        <v>2008</v>
      </c>
      <c r="B22">
        <v>1</v>
      </c>
      <c r="C22">
        <v>21</v>
      </c>
      <c r="D22">
        <v>21</v>
      </c>
      <c r="E22" t="s">
        <v>55</v>
      </c>
      <c r="F22" t="s">
        <v>742</v>
      </c>
      <c r="G22" t="s">
        <v>8</v>
      </c>
      <c r="H22">
        <v>0.2</v>
      </c>
      <c r="N22">
        <v>156</v>
      </c>
      <c r="O22">
        <v>6</v>
      </c>
      <c r="P22">
        <v>6</v>
      </c>
      <c r="Q22">
        <v>4.3600000000000003</v>
      </c>
      <c r="R22">
        <v>1.45</v>
      </c>
      <c r="S22">
        <v>2</v>
      </c>
      <c r="T22" t="s">
        <v>34</v>
      </c>
      <c r="U22">
        <f t="shared" si="0"/>
        <v>0</v>
      </c>
      <c r="V22" t="str">
        <f t="shared" si="1"/>
        <v>MLB</v>
      </c>
      <c r="W22" t="s">
        <v>1390</v>
      </c>
    </row>
    <row r="23" spans="1:23">
      <c r="A23">
        <v>2008</v>
      </c>
      <c r="B23">
        <v>1</v>
      </c>
      <c r="C23">
        <v>22</v>
      </c>
      <c r="D23">
        <v>22</v>
      </c>
      <c r="E23" t="s">
        <v>71</v>
      </c>
      <c r="F23" t="s">
        <v>743</v>
      </c>
      <c r="G23" t="s">
        <v>5</v>
      </c>
      <c r="T23" t="s">
        <v>34</v>
      </c>
      <c r="U23">
        <f t="shared" si="0"/>
        <v>0</v>
      </c>
      <c r="V23" t="s">
        <v>12</v>
      </c>
      <c r="W23">
        <v>-9999</v>
      </c>
    </row>
    <row r="24" spans="1:23">
      <c r="A24">
        <v>2008</v>
      </c>
      <c r="B24">
        <v>1</v>
      </c>
      <c r="C24">
        <v>23</v>
      </c>
      <c r="D24">
        <v>23</v>
      </c>
      <c r="E24" t="s">
        <v>83</v>
      </c>
      <c r="F24" t="s">
        <v>744</v>
      </c>
      <c r="G24" t="s">
        <v>3</v>
      </c>
      <c r="H24">
        <v>-0.5</v>
      </c>
      <c r="I24">
        <v>13</v>
      </c>
      <c r="J24">
        <v>31</v>
      </c>
      <c r="K24">
        <v>1</v>
      </c>
      <c r="L24">
        <v>0.129</v>
      </c>
      <c r="M24">
        <v>0.51500000000000001</v>
      </c>
      <c r="T24" t="s">
        <v>34</v>
      </c>
      <c r="U24">
        <f t="shared" si="0"/>
        <v>0</v>
      </c>
      <c r="V24" t="str">
        <f t="shared" si="1"/>
        <v>MLB</v>
      </c>
      <c r="W24" t="s">
        <v>1391</v>
      </c>
    </row>
    <row r="25" spans="1:23">
      <c r="A25">
        <v>2008</v>
      </c>
      <c r="B25">
        <v>1</v>
      </c>
      <c r="C25">
        <v>24</v>
      </c>
      <c r="D25">
        <v>24</v>
      </c>
      <c r="E25" t="s">
        <v>87</v>
      </c>
      <c r="F25" t="s">
        <v>745</v>
      </c>
      <c r="G25" t="s">
        <v>5</v>
      </c>
      <c r="T25" t="s">
        <v>52</v>
      </c>
      <c r="U25">
        <f t="shared" si="0"/>
        <v>1</v>
      </c>
      <c r="V25" t="s">
        <v>13</v>
      </c>
      <c r="W25">
        <v>-9999</v>
      </c>
    </row>
    <row r="26" spans="1:23">
      <c r="A26">
        <v>2008</v>
      </c>
      <c r="B26">
        <v>1</v>
      </c>
      <c r="C26">
        <v>25</v>
      </c>
      <c r="D26">
        <v>25</v>
      </c>
      <c r="E26" t="s">
        <v>37</v>
      </c>
      <c r="F26" t="s">
        <v>746</v>
      </c>
      <c r="G26" t="s">
        <v>9</v>
      </c>
      <c r="H26">
        <v>-0.7</v>
      </c>
      <c r="N26">
        <v>124</v>
      </c>
      <c r="O26">
        <v>10</v>
      </c>
      <c r="P26">
        <v>28</v>
      </c>
      <c r="Q26">
        <v>5.37</v>
      </c>
      <c r="R26">
        <v>1.52</v>
      </c>
      <c r="S26">
        <v>0</v>
      </c>
      <c r="T26" t="s">
        <v>34</v>
      </c>
      <c r="U26">
        <f t="shared" si="0"/>
        <v>0</v>
      </c>
      <c r="V26" t="str">
        <f t="shared" si="1"/>
        <v>MLB</v>
      </c>
      <c r="W26" t="s">
        <v>1392</v>
      </c>
    </row>
    <row r="27" spans="1:23">
      <c r="A27">
        <v>2008</v>
      </c>
      <c r="B27">
        <v>1</v>
      </c>
      <c r="C27">
        <v>26</v>
      </c>
      <c r="D27">
        <v>26</v>
      </c>
      <c r="E27" t="s">
        <v>91</v>
      </c>
      <c r="F27" t="s">
        <v>747</v>
      </c>
      <c r="G27" t="s">
        <v>9</v>
      </c>
      <c r="H27">
        <v>0</v>
      </c>
      <c r="N27">
        <v>94</v>
      </c>
      <c r="O27">
        <v>5</v>
      </c>
      <c r="P27">
        <v>6</v>
      </c>
      <c r="Q27">
        <v>4.3499999999999996</v>
      </c>
      <c r="R27">
        <v>1.57</v>
      </c>
      <c r="S27">
        <v>1</v>
      </c>
      <c r="T27" t="s">
        <v>34</v>
      </c>
      <c r="U27">
        <f t="shared" si="0"/>
        <v>0</v>
      </c>
      <c r="V27" t="str">
        <f t="shared" si="1"/>
        <v>MLB</v>
      </c>
      <c r="W27" t="s">
        <v>1393</v>
      </c>
    </row>
    <row r="28" spans="1:23">
      <c r="A28">
        <v>2008</v>
      </c>
      <c r="B28">
        <v>1</v>
      </c>
      <c r="C28">
        <v>27</v>
      </c>
      <c r="D28">
        <v>27</v>
      </c>
      <c r="E28" t="s">
        <v>748</v>
      </c>
      <c r="F28" t="s">
        <v>749</v>
      </c>
      <c r="G28" t="s">
        <v>8</v>
      </c>
      <c r="T28" t="s">
        <v>34</v>
      </c>
      <c r="U28">
        <f t="shared" si="0"/>
        <v>0</v>
      </c>
      <c r="V28" t="s">
        <v>12</v>
      </c>
      <c r="W28">
        <v>-9999</v>
      </c>
    </row>
    <row r="29" spans="1:23">
      <c r="A29">
        <v>2008</v>
      </c>
      <c r="B29">
        <v>1</v>
      </c>
      <c r="C29">
        <v>28</v>
      </c>
      <c r="D29">
        <v>28</v>
      </c>
      <c r="E29" t="s">
        <v>85</v>
      </c>
      <c r="F29" t="s">
        <v>558</v>
      </c>
      <c r="G29" t="s">
        <v>8</v>
      </c>
      <c r="H29">
        <v>43.1</v>
      </c>
      <c r="N29">
        <v>317</v>
      </c>
      <c r="O29">
        <v>153</v>
      </c>
      <c r="P29">
        <v>80</v>
      </c>
      <c r="Q29">
        <v>3.18</v>
      </c>
      <c r="R29">
        <v>1.0900000000000001</v>
      </c>
      <c r="S29">
        <v>0</v>
      </c>
      <c r="T29" t="s">
        <v>52</v>
      </c>
      <c r="U29">
        <f t="shared" si="0"/>
        <v>1</v>
      </c>
      <c r="V29" t="str">
        <f t="shared" si="1"/>
        <v>MLB</v>
      </c>
      <c r="W29" t="s">
        <v>1394</v>
      </c>
    </row>
    <row r="30" spans="1:23">
      <c r="A30">
        <v>2008</v>
      </c>
      <c r="B30">
        <v>1</v>
      </c>
      <c r="C30">
        <v>29</v>
      </c>
      <c r="D30">
        <v>29</v>
      </c>
      <c r="E30" t="s">
        <v>206</v>
      </c>
      <c r="F30" t="s">
        <v>750</v>
      </c>
      <c r="G30" t="s">
        <v>11</v>
      </c>
      <c r="H30">
        <v>9.1999999999999993</v>
      </c>
      <c r="I30">
        <v>688</v>
      </c>
      <c r="J30">
        <v>2159</v>
      </c>
      <c r="K30">
        <v>64</v>
      </c>
      <c r="L30">
        <v>0.26800000000000002</v>
      </c>
      <c r="M30">
        <v>0.747</v>
      </c>
      <c r="T30" t="s">
        <v>163</v>
      </c>
      <c r="U30">
        <f t="shared" si="0"/>
        <v>0</v>
      </c>
      <c r="V30" t="str">
        <f t="shared" si="1"/>
        <v>MLB</v>
      </c>
      <c r="W30" t="s">
        <v>1395</v>
      </c>
    </row>
    <row r="31" spans="1:23">
      <c r="A31">
        <v>2008</v>
      </c>
      <c r="B31">
        <v>1</v>
      </c>
      <c r="C31">
        <v>30</v>
      </c>
      <c r="D31">
        <v>30</v>
      </c>
      <c r="E31" t="s">
        <v>57</v>
      </c>
      <c r="F31" t="s">
        <v>751</v>
      </c>
      <c r="G31" t="s">
        <v>5</v>
      </c>
      <c r="H31">
        <v>-1.3</v>
      </c>
      <c r="I31">
        <v>27</v>
      </c>
      <c r="J31">
        <v>18</v>
      </c>
      <c r="K31">
        <v>0</v>
      </c>
      <c r="L31">
        <v>0.111</v>
      </c>
      <c r="M31">
        <v>0.222</v>
      </c>
      <c r="N31">
        <v>30</v>
      </c>
      <c r="O31">
        <v>2</v>
      </c>
      <c r="P31">
        <v>11</v>
      </c>
      <c r="Q31">
        <v>5.34</v>
      </c>
      <c r="R31">
        <v>1.61</v>
      </c>
      <c r="S31">
        <v>1</v>
      </c>
      <c r="T31" t="s">
        <v>52</v>
      </c>
      <c r="U31">
        <f t="shared" si="0"/>
        <v>1</v>
      </c>
      <c r="V31" t="str">
        <f t="shared" si="1"/>
        <v>MLB</v>
      </c>
      <c r="W31" t="s">
        <v>1396</v>
      </c>
    </row>
    <row r="32" spans="1:23">
      <c r="A32">
        <v>2008</v>
      </c>
      <c r="B32" t="s">
        <v>537</v>
      </c>
      <c r="C32">
        <v>31</v>
      </c>
      <c r="D32">
        <v>31</v>
      </c>
      <c r="E32" t="s">
        <v>75</v>
      </c>
      <c r="F32" t="s">
        <v>752</v>
      </c>
      <c r="G32" t="s">
        <v>8</v>
      </c>
      <c r="T32" t="s">
        <v>34</v>
      </c>
      <c r="U32">
        <f t="shared" si="0"/>
        <v>0</v>
      </c>
      <c r="V32" t="s">
        <v>14</v>
      </c>
      <c r="W32">
        <v>-9999</v>
      </c>
    </row>
    <row r="33" spans="1:23">
      <c r="A33">
        <v>2008</v>
      </c>
      <c r="B33" t="s">
        <v>537</v>
      </c>
      <c r="C33">
        <v>32</v>
      </c>
      <c r="D33">
        <v>32</v>
      </c>
      <c r="E33" t="s">
        <v>67</v>
      </c>
      <c r="F33" t="s">
        <v>753</v>
      </c>
      <c r="G33" t="s">
        <v>8</v>
      </c>
      <c r="H33">
        <v>13.4</v>
      </c>
      <c r="N33">
        <v>241</v>
      </c>
      <c r="O33">
        <v>74</v>
      </c>
      <c r="P33">
        <v>69</v>
      </c>
      <c r="Q33">
        <v>3.99</v>
      </c>
      <c r="R33">
        <v>1.25</v>
      </c>
      <c r="S33">
        <v>1</v>
      </c>
      <c r="T33" t="s">
        <v>52</v>
      </c>
      <c r="U33">
        <f t="shared" si="0"/>
        <v>1</v>
      </c>
      <c r="V33" t="str">
        <f t="shared" si="1"/>
        <v>MLB</v>
      </c>
      <c r="W33" t="s">
        <v>1397</v>
      </c>
    </row>
    <row r="34" spans="1:23">
      <c r="A34">
        <v>2008</v>
      </c>
      <c r="B34">
        <v>1</v>
      </c>
      <c r="C34">
        <v>33</v>
      </c>
      <c r="D34">
        <v>33</v>
      </c>
      <c r="E34" t="s">
        <v>71</v>
      </c>
      <c r="F34" t="s">
        <v>754</v>
      </c>
      <c r="G34" t="s">
        <v>8</v>
      </c>
      <c r="T34" t="s">
        <v>34</v>
      </c>
      <c r="U34">
        <f t="shared" si="0"/>
        <v>0</v>
      </c>
      <c r="V34" t="s">
        <v>12</v>
      </c>
      <c r="W34">
        <v>-9999</v>
      </c>
    </row>
    <row r="35" spans="1:23">
      <c r="A35">
        <v>2008</v>
      </c>
      <c r="B35" t="s">
        <v>537</v>
      </c>
      <c r="C35">
        <v>34</v>
      </c>
      <c r="D35">
        <v>34</v>
      </c>
      <c r="E35" t="s">
        <v>87</v>
      </c>
      <c r="F35" t="s">
        <v>755</v>
      </c>
      <c r="G35" t="s">
        <v>2</v>
      </c>
      <c r="T35" t="s">
        <v>52</v>
      </c>
      <c r="U35">
        <f t="shared" si="0"/>
        <v>1</v>
      </c>
      <c r="V35" t="s">
        <v>12</v>
      </c>
      <c r="W35">
        <v>-9999</v>
      </c>
    </row>
    <row r="36" spans="1:23">
      <c r="A36">
        <v>2008</v>
      </c>
      <c r="B36" t="s">
        <v>537</v>
      </c>
      <c r="C36">
        <v>35</v>
      </c>
      <c r="D36">
        <v>35</v>
      </c>
      <c r="E36" t="s">
        <v>67</v>
      </c>
      <c r="F36" t="s">
        <v>756</v>
      </c>
      <c r="G36" t="s">
        <v>9</v>
      </c>
      <c r="T36" t="s">
        <v>34</v>
      </c>
      <c r="U36">
        <f t="shared" si="0"/>
        <v>0</v>
      </c>
      <c r="V36" t="s">
        <v>14</v>
      </c>
      <c r="W36">
        <v>-9999</v>
      </c>
    </row>
    <row r="37" spans="1:23">
      <c r="A37">
        <v>2008</v>
      </c>
      <c r="B37">
        <v>1</v>
      </c>
      <c r="C37">
        <v>36</v>
      </c>
      <c r="D37">
        <v>36</v>
      </c>
      <c r="E37" t="s">
        <v>43</v>
      </c>
      <c r="F37" t="s">
        <v>757</v>
      </c>
      <c r="G37" t="s">
        <v>9</v>
      </c>
      <c r="H37">
        <v>5.9</v>
      </c>
      <c r="N37">
        <v>183</v>
      </c>
      <c r="O37">
        <v>23</v>
      </c>
      <c r="P37">
        <v>34</v>
      </c>
      <c r="Q37">
        <v>3.84</v>
      </c>
      <c r="R37">
        <v>1.35</v>
      </c>
      <c r="S37">
        <v>3</v>
      </c>
      <c r="T37" t="s">
        <v>52</v>
      </c>
      <c r="U37">
        <f t="shared" si="0"/>
        <v>1</v>
      </c>
      <c r="V37" t="str">
        <f t="shared" si="1"/>
        <v>MLB</v>
      </c>
      <c r="W37" t="s">
        <v>1398</v>
      </c>
    </row>
    <row r="38" spans="1:23">
      <c r="A38">
        <v>2008</v>
      </c>
      <c r="B38" t="s">
        <v>537</v>
      </c>
      <c r="C38">
        <v>37</v>
      </c>
      <c r="D38">
        <v>37</v>
      </c>
      <c r="E38" t="s">
        <v>59</v>
      </c>
      <c r="F38" t="s">
        <v>758</v>
      </c>
      <c r="G38" t="s">
        <v>11</v>
      </c>
      <c r="H38">
        <v>2.2000000000000002</v>
      </c>
      <c r="I38">
        <v>513</v>
      </c>
      <c r="J38">
        <v>1424</v>
      </c>
      <c r="K38">
        <v>33</v>
      </c>
      <c r="L38">
        <v>0.251</v>
      </c>
      <c r="M38">
        <v>0.69499999999999995</v>
      </c>
      <c r="T38" t="s">
        <v>34</v>
      </c>
      <c r="U38">
        <f t="shared" si="0"/>
        <v>0</v>
      </c>
      <c r="V38" t="str">
        <f t="shared" si="1"/>
        <v>MLB</v>
      </c>
      <c r="W38" t="s">
        <v>1399</v>
      </c>
    </row>
    <row r="39" spans="1:23">
      <c r="A39">
        <v>2008</v>
      </c>
      <c r="B39" t="s">
        <v>537</v>
      </c>
      <c r="C39">
        <v>38</v>
      </c>
      <c r="D39">
        <v>38</v>
      </c>
      <c r="E39" t="s">
        <v>89</v>
      </c>
      <c r="F39" t="s">
        <v>759</v>
      </c>
      <c r="G39" t="s">
        <v>8</v>
      </c>
      <c r="H39">
        <v>-2.4</v>
      </c>
      <c r="N39">
        <v>357</v>
      </c>
      <c r="O39">
        <v>72</v>
      </c>
      <c r="P39">
        <v>107</v>
      </c>
      <c r="Q39">
        <v>5.22</v>
      </c>
      <c r="R39">
        <v>1.4</v>
      </c>
      <c r="S39">
        <v>2</v>
      </c>
      <c r="T39" t="s">
        <v>52</v>
      </c>
      <c r="U39">
        <f t="shared" si="0"/>
        <v>1</v>
      </c>
      <c r="V39" t="str">
        <f t="shared" si="1"/>
        <v>MLB</v>
      </c>
      <c r="W39" t="s">
        <v>1400</v>
      </c>
    </row>
    <row r="40" spans="1:23">
      <c r="A40">
        <v>2008</v>
      </c>
      <c r="B40" t="s">
        <v>537</v>
      </c>
      <c r="C40">
        <v>39</v>
      </c>
      <c r="D40">
        <v>39</v>
      </c>
      <c r="E40" t="s">
        <v>46</v>
      </c>
      <c r="F40" t="s">
        <v>760</v>
      </c>
      <c r="G40" t="s">
        <v>8</v>
      </c>
      <c r="H40">
        <v>29.8</v>
      </c>
      <c r="N40">
        <v>364</v>
      </c>
      <c r="O40">
        <v>143</v>
      </c>
      <c r="P40">
        <v>99</v>
      </c>
      <c r="Q40">
        <v>3.74</v>
      </c>
      <c r="R40">
        <v>1.28</v>
      </c>
      <c r="S40">
        <v>1</v>
      </c>
      <c r="T40" t="s">
        <v>34</v>
      </c>
      <c r="U40">
        <f t="shared" si="0"/>
        <v>0</v>
      </c>
      <c r="V40" t="str">
        <f t="shared" si="1"/>
        <v>MLB</v>
      </c>
      <c r="W40" t="s">
        <v>1401</v>
      </c>
    </row>
    <row r="41" spans="1:23">
      <c r="A41">
        <v>2008</v>
      </c>
      <c r="B41" t="s">
        <v>537</v>
      </c>
      <c r="C41">
        <v>40</v>
      </c>
      <c r="D41">
        <v>40</v>
      </c>
      <c r="E41" t="s">
        <v>81</v>
      </c>
      <c r="F41" t="s">
        <v>761</v>
      </c>
      <c r="G41" t="s">
        <v>9</v>
      </c>
      <c r="T41" t="s">
        <v>52</v>
      </c>
      <c r="U41">
        <f t="shared" si="0"/>
        <v>1</v>
      </c>
      <c r="V41" t="s">
        <v>1114</v>
      </c>
      <c r="W41">
        <v>-9999</v>
      </c>
    </row>
    <row r="42" spans="1:23">
      <c r="A42">
        <v>2008</v>
      </c>
      <c r="B42" t="s">
        <v>537</v>
      </c>
      <c r="C42">
        <v>41</v>
      </c>
      <c r="D42">
        <v>41</v>
      </c>
      <c r="E42" t="s">
        <v>61</v>
      </c>
      <c r="F42" t="s">
        <v>762</v>
      </c>
      <c r="G42" t="s">
        <v>5</v>
      </c>
      <c r="H42">
        <v>0.9</v>
      </c>
      <c r="I42">
        <v>547</v>
      </c>
      <c r="J42">
        <v>1324</v>
      </c>
      <c r="K42">
        <v>37</v>
      </c>
      <c r="L42">
        <v>0.215</v>
      </c>
      <c r="M42">
        <v>0.629</v>
      </c>
      <c r="T42" t="s">
        <v>34</v>
      </c>
      <c r="U42">
        <f t="shared" si="0"/>
        <v>0</v>
      </c>
      <c r="V42" t="str">
        <f t="shared" si="1"/>
        <v>MLB</v>
      </c>
      <c r="W42" t="s">
        <v>1402</v>
      </c>
    </row>
    <row r="43" spans="1:23">
      <c r="A43">
        <v>2008</v>
      </c>
      <c r="B43">
        <v>1</v>
      </c>
      <c r="C43">
        <v>42</v>
      </c>
      <c r="D43">
        <v>42</v>
      </c>
      <c r="E43" t="s">
        <v>83</v>
      </c>
      <c r="F43" t="s">
        <v>763</v>
      </c>
      <c r="G43" t="s">
        <v>2</v>
      </c>
      <c r="H43">
        <v>-1.5</v>
      </c>
      <c r="I43">
        <v>77</v>
      </c>
      <c r="J43">
        <v>161</v>
      </c>
      <c r="K43">
        <v>1</v>
      </c>
      <c r="L43">
        <v>0.17399999999999999</v>
      </c>
      <c r="M43">
        <v>0.51</v>
      </c>
      <c r="T43" t="s">
        <v>52</v>
      </c>
      <c r="U43">
        <f t="shared" si="0"/>
        <v>1</v>
      </c>
      <c r="V43" t="str">
        <f t="shared" si="1"/>
        <v>MLB</v>
      </c>
      <c r="W43" t="s">
        <v>1403</v>
      </c>
    </row>
    <row r="44" spans="1:23">
      <c r="A44">
        <v>2008</v>
      </c>
      <c r="B44" t="s">
        <v>537</v>
      </c>
      <c r="C44">
        <v>43</v>
      </c>
      <c r="D44">
        <v>43</v>
      </c>
      <c r="E44" t="s">
        <v>91</v>
      </c>
      <c r="F44" t="s">
        <v>764</v>
      </c>
      <c r="G44" t="s">
        <v>9</v>
      </c>
      <c r="H44">
        <v>18.600000000000001</v>
      </c>
      <c r="N44">
        <v>320</v>
      </c>
      <c r="O44">
        <v>109</v>
      </c>
      <c r="P44">
        <v>99</v>
      </c>
      <c r="Q44">
        <v>4.09</v>
      </c>
      <c r="R44">
        <v>1.36</v>
      </c>
      <c r="S44">
        <v>0</v>
      </c>
      <c r="T44" t="s">
        <v>34</v>
      </c>
      <c r="U44">
        <f t="shared" si="0"/>
        <v>0</v>
      </c>
      <c r="V44" t="str">
        <f t="shared" si="1"/>
        <v>MLB</v>
      </c>
      <c r="W44" t="s">
        <v>1404</v>
      </c>
    </row>
    <row r="45" spans="1:23">
      <c r="A45">
        <v>2008</v>
      </c>
      <c r="B45" t="s">
        <v>537</v>
      </c>
      <c r="C45">
        <v>44</v>
      </c>
      <c r="D45">
        <v>44</v>
      </c>
      <c r="E45" t="s">
        <v>85</v>
      </c>
      <c r="F45" t="s">
        <v>765</v>
      </c>
      <c r="G45" t="s">
        <v>9</v>
      </c>
      <c r="H45">
        <v>-0.1</v>
      </c>
      <c r="N45">
        <v>2</v>
      </c>
      <c r="O45">
        <v>0</v>
      </c>
      <c r="P45">
        <v>0</v>
      </c>
      <c r="Q45">
        <v>54</v>
      </c>
      <c r="R45">
        <v>6</v>
      </c>
      <c r="S45">
        <v>0</v>
      </c>
      <c r="T45" t="s">
        <v>34</v>
      </c>
      <c r="U45">
        <f t="shared" si="0"/>
        <v>0</v>
      </c>
      <c r="V45" t="str">
        <f t="shared" si="1"/>
        <v>MLB</v>
      </c>
      <c r="W45" t="s">
        <v>1405</v>
      </c>
    </row>
    <row r="46" spans="1:23">
      <c r="A46">
        <v>2008</v>
      </c>
      <c r="B46" t="s">
        <v>537</v>
      </c>
      <c r="C46">
        <v>45</v>
      </c>
      <c r="D46">
        <v>45</v>
      </c>
      <c r="E46" t="s">
        <v>57</v>
      </c>
      <c r="F46" t="s">
        <v>766</v>
      </c>
      <c r="G46" t="s">
        <v>8</v>
      </c>
      <c r="H46">
        <v>-0.2</v>
      </c>
      <c r="N46">
        <v>3</v>
      </c>
      <c r="O46">
        <v>0</v>
      </c>
      <c r="P46">
        <v>0</v>
      </c>
      <c r="Q46">
        <v>20.25</v>
      </c>
      <c r="R46">
        <v>3.38</v>
      </c>
      <c r="S46">
        <v>0</v>
      </c>
      <c r="T46" t="s">
        <v>34</v>
      </c>
      <c r="U46">
        <f t="shared" si="0"/>
        <v>0</v>
      </c>
      <c r="V46" t="str">
        <f t="shared" si="1"/>
        <v>MLB</v>
      </c>
      <c r="W46" t="s">
        <v>1406</v>
      </c>
    </row>
    <row r="47" spans="1:23">
      <c r="A47">
        <v>2008</v>
      </c>
      <c r="B47" t="s">
        <v>537</v>
      </c>
      <c r="C47">
        <v>46</v>
      </c>
      <c r="D47">
        <v>46</v>
      </c>
      <c r="E47" t="s">
        <v>83</v>
      </c>
      <c r="F47" t="s">
        <v>767</v>
      </c>
      <c r="G47" t="s">
        <v>11</v>
      </c>
      <c r="H47">
        <v>11.7</v>
      </c>
      <c r="I47">
        <v>970</v>
      </c>
      <c r="J47">
        <v>3120</v>
      </c>
      <c r="K47">
        <v>71</v>
      </c>
      <c r="L47">
        <v>0.24399999999999999</v>
      </c>
      <c r="M47">
        <v>0.69499999999999995</v>
      </c>
      <c r="N47">
        <v>1</v>
      </c>
      <c r="O47">
        <v>0</v>
      </c>
      <c r="P47">
        <v>0</v>
      </c>
      <c r="Q47">
        <v>9</v>
      </c>
      <c r="R47">
        <v>3</v>
      </c>
      <c r="S47">
        <v>0</v>
      </c>
      <c r="T47" t="s">
        <v>34</v>
      </c>
      <c r="U47">
        <f t="shared" si="0"/>
        <v>0</v>
      </c>
      <c r="V47" t="str">
        <f t="shared" si="1"/>
        <v>MLB</v>
      </c>
      <c r="W47" t="s">
        <v>1407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8CBD-9293-4316-BED8-5F316851AB75}">
  <dimension ref="A1:W50"/>
  <sheetViews>
    <sheetView topLeftCell="A25" workbookViewId="0">
      <selection activeCell="W2" sqref="W2"/>
    </sheetView>
  </sheetViews>
  <sheetFormatPr defaultRowHeight="14.5"/>
  <cols>
    <col min="1" max="1" width="4.81640625" bestFit="1" customWidth="1"/>
    <col min="2" max="2" width="3.90625" bestFit="1" customWidth="1"/>
    <col min="3" max="3" width="6" bestFit="1" customWidth="1"/>
    <col min="4" max="4" width="5.90625" bestFit="1" customWidth="1"/>
    <col min="5" max="5" width="22.90625" bestFit="1" customWidth="1"/>
    <col min="6" max="6" width="23.7265625" bestFit="1" customWidth="1"/>
    <col min="7" max="7" width="4.26953125" bestFit="1" customWidth="1"/>
    <col min="8" max="10" width="4.81640625" bestFit="1" customWidth="1"/>
    <col min="11" max="11" width="3.81640625" bestFit="1" customWidth="1"/>
    <col min="12" max="13" width="5.81640625" bestFit="1" customWidth="1"/>
    <col min="14" max="16" width="3.81640625" bestFit="1" customWidth="1"/>
    <col min="17" max="17" width="5.81640625" bestFit="1" customWidth="1"/>
    <col min="18" max="18" width="5.26953125" bestFit="1" customWidth="1"/>
    <col min="19" max="19" width="2.90625" bestFit="1" customWidth="1"/>
    <col min="20" max="20" width="4.54296875" bestFit="1" customWidth="1"/>
    <col min="21" max="21" width="4" bestFit="1" customWidth="1"/>
  </cols>
  <sheetData>
    <row r="1" spans="1:23">
      <c r="A1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>
        <v>2009</v>
      </c>
      <c r="B2">
        <v>1</v>
      </c>
      <c r="C2">
        <v>1</v>
      </c>
      <c r="D2">
        <v>1</v>
      </c>
      <c r="E2" t="s">
        <v>53</v>
      </c>
      <c r="F2" t="s">
        <v>668</v>
      </c>
      <c r="G2" t="s">
        <v>8</v>
      </c>
      <c r="H2">
        <v>32.299999999999997</v>
      </c>
      <c r="N2">
        <v>247</v>
      </c>
      <c r="O2">
        <v>113</v>
      </c>
      <c r="P2">
        <v>62</v>
      </c>
      <c r="Q2">
        <v>3.24</v>
      </c>
      <c r="R2">
        <v>1.1000000000000001</v>
      </c>
      <c r="S2">
        <v>0</v>
      </c>
      <c r="T2" t="s">
        <v>34</v>
      </c>
      <c r="U2">
        <f>IF(ISNUMBER(SEARCH("HS",T2)),1,0)</f>
        <v>0</v>
      </c>
      <c r="V2" t="str">
        <f>IF(ISNUMBER(H2),"MLB","")</f>
        <v>MLB</v>
      </c>
      <c r="W2" t="s">
        <v>1408</v>
      </c>
    </row>
    <row r="3" spans="1:23">
      <c r="A3">
        <v>2009</v>
      </c>
      <c r="B3">
        <v>1</v>
      </c>
      <c r="C3">
        <v>2</v>
      </c>
      <c r="D3">
        <v>2</v>
      </c>
      <c r="E3" t="s">
        <v>63</v>
      </c>
      <c r="F3" t="s">
        <v>669</v>
      </c>
      <c r="G3" t="s">
        <v>237</v>
      </c>
      <c r="H3">
        <v>7.7</v>
      </c>
      <c r="I3">
        <v>635</v>
      </c>
      <c r="J3">
        <v>2125</v>
      </c>
      <c r="K3">
        <v>46</v>
      </c>
      <c r="L3">
        <v>0.24099999999999999</v>
      </c>
      <c r="M3">
        <v>0.67100000000000004</v>
      </c>
      <c r="T3" t="s">
        <v>34</v>
      </c>
      <c r="U3">
        <f t="shared" ref="U3:U50" si="0">IF(ISNUMBER(SEARCH("HS",T3)),1,0)</f>
        <v>0</v>
      </c>
      <c r="V3" t="str">
        <f t="shared" ref="V3:V50" si="1">IF(ISNUMBER(H3),"MLB","")</f>
        <v>MLB</v>
      </c>
      <c r="W3" t="s">
        <v>1409</v>
      </c>
    </row>
    <row r="4" spans="1:23">
      <c r="A4">
        <v>2009</v>
      </c>
      <c r="B4">
        <v>1</v>
      </c>
      <c r="C4">
        <v>3</v>
      </c>
      <c r="D4">
        <v>3</v>
      </c>
      <c r="E4" t="s">
        <v>83</v>
      </c>
      <c r="F4" t="s">
        <v>670</v>
      </c>
      <c r="G4" t="s">
        <v>237</v>
      </c>
      <c r="T4" t="s">
        <v>52</v>
      </c>
      <c r="U4">
        <f t="shared" si="0"/>
        <v>1</v>
      </c>
      <c r="V4" t="s">
        <v>14</v>
      </c>
      <c r="W4">
        <v>-9999</v>
      </c>
    </row>
    <row r="5" spans="1:23">
      <c r="A5">
        <v>2009</v>
      </c>
      <c r="B5">
        <v>1</v>
      </c>
      <c r="C5">
        <v>4</v>
      </c>
      <c r="D5">
        <v>4</v>
      </c>
      <c r="E5" t="s">
        <v>50</v>
      </c>
      <c r="F5" t="s">
        <v>671</v>
      </c>
      <c r="G5" t="s">
        <v>6</v>
      </c>
      <c r="H5">
        <v>0.1</v>
      </c>
      <c r="I5">
        <v>52</v>
      </c>
      <c r="J5">
        <v>144</v>
      </c>
      <c r="K5">
        <v>4</v>
      </c>
      <c r="L5">
        <v>0.25700000000000001</v>
      </c>
      <c r="M5">
        <v>0.67600000000000005</v>
      </c>
      <c r="T5" t="s">
        <v>34</v>
      </c>
      <c r="U5">
        <f t="shared" si="0"/>
        <v>0</v>
      </c>
      <c r="V5" t="str">
        <f t="shared" si="1"/>
        <v>MLB</v>
      </c>
      <c r="W5" t="s">
        <v>1410</v>
      </c>
    </row>
    <row r="6" spans="1:23">
      <c r="A6">
        <v>2009</v>
      </c>
      <c r="B6">
        <v>1</v>
      </c>
      <c r="C6">
        <v>5</v>
      </c>
      <c r="D6">
        <v>5</v>
      </c>
      <c r="E6" t="s">
        <v>77</v>
      </c>
      <c r="F6" t="s">
        <v>672</v>
      </c>
      <c r="G6" t="s">
        <v>8</v>
      </c>
      <c r="T6" t="s">
        <v>52</v>
      </c>
      <c r="U6">
        <f t="shared" si="0"/>
        <v>1</v>
      </c>
      <c r="V6" t="s">
        <v>14</v>
      </c>
      <c r="W6">
        <v>-9999</v>
      </c>
    </row>
    <row r="7" spans="1:23">
      <c r="A7">
        <v>2009</v>
      </c>
      <c r="B7">
        <v>1</v>
      </c>
      <c r="C7">
        <v>6</v>
      </c>
      <c r="D7">
        <v>6</v>
      </c>
      <c r="E7" t="s">
        <v>59</v>
      </c>
      <c r="F7" t="s">
        <v>673</v>
      </c>
      <c r="G7" t="s">
        <v>8</v>
      </c>
      <c r="H7">
        <v>41.6</v>
      </c>
      <c r="N7">
        <v>287</v>
      </c>
      <c r="O7">
        <v>115</v>
      </c>
      <c r="P7">
        <v>75</v>
      </c>
      <c r="Q7">
        <v>3.27</v>
      </c>
      <c r="R7">
        <v>1.1299999999999999</v>
      </c>
      <c r="S7">
        <v>0</v>
      </c>
      <c r="T7" t="s">
        <v>52</v>
      </c>
      <c r="U7">
        <f t="shared" si="0"/>
        <v>1</v>
      </c>
      <c r="V7" t="str">
        <f t="shared" si="1"/>
        <v>MLB</v>
      </c>
      <c r="W7" t="s">
        <v>1411</v>
      </c>
    </row>
    <row r="8" spans="1:23">
      <c r="A8">
        <v>2009</v>
      </c>
      <c r="B8">
        <v>1</v>
      </c>
      <c r="C8">
        <v>7</v>
      </c>
      <c r="D8">
        <v>7</v>
      </c>
      <c r="E8" t="s">
        <v>81</v>
      </c>
      <c r="F8" t="s">
        <v>674</v>
      </c>
      <c r="G8" t="s">
        <v>9</v>
      </c>
      <c r="H8">
        <v>18.399999999999999</v>
      </c>
      <c r="N8">
        <v>295</v>
      </c>
      <c r="O8">
        <v>83</v>
      </c>
      <c r="P8">
        <v>90</v>
      </c>
      <c r="Q8">
        <v>4.25</v>
      </c>
      <c r="R8">
        <v>1.25</v>
      </c>
      <c r="S8">
        <v>6</v>
      </c>
      <c r="T8" t="s">
        <v>34</v>
      </c>
      <c r="U8">
        <f t="shared" si="0"/>
        <v>0</v>
      </c>
      <c r="V8" t="str">
        <f t="shared" si="1"/>
        <v>MLB</v>
      </c>
      <c r="W8" t="s">
        <v>1412</v>
      </c>
    </row>
    <row r="9" spans="1:23">
      <c r="A9">
        <v>2009</v>
      </c>
      <c r="B9">
        <v>1</v>
      </c>
      <c r="C9">
        <v>8</v>
      </c>
      <c r="D9">
        <v>8</v>
      </c>
      <c r="E9" t="s">
        <v>35</v>
      </c>
      <c r="F9" t="s">
        <v>675</v>
      </c>
      <c r="G9" t="s">
        <v>8</v>
      </c>
      <c r="H9">
        <v>16.3</v>
      </c>
      <c r="N9">
        <v>301</v>
      </c>
      <c r="O9">
        <v>105</v>
      </c>
      <c r="P9">
        <v>98</v>
      </c>
      <c r="Q9">
        <v>4.05</v>
      </c>
      <c r="R9">
        <v>1.28</v>
      </c>
      <c r="S9">
        <v>0</v>
      </c>
      <c r="T9" t="s">
        <v>34</v>
      </c>
      <c r="U9">
        <f t="shared" si="0"/>
        <v>0</v>
      </c>
      <c r="V9" t="str">
        <f t="shared" si="1"/>
        <v>MLB</v>
      </c>
      <c r="W9" t="s">
        <v>1413</v>
      </c>
    </row>
    <row r="10" spans="1:23">
      <c r="A10">
        <v>2009</v>
      </c>
      <c r="B10">
        <v>1</v>
      </c>
      <c r="C10">
        <v>9</v>
      </c>
      <c r="D10">
        <v>9</v>
      </c>
      <c r="E10" t="s">
        <v>55</v>
      </c>
      <c r="F10" t="s">
        <v>676</v>
      </c>
      <c r="G10" t="s">
        <v>8</v>
      </c>
      <c r="H10">
        <v>-2.6</v>
      </c>
      <c r="N10">
        <v>102</v>
      </c>
      <c r="O10">
        <v>14</v>
      </c>
      <c r="P10">
        <v>31</v>
      </c>
      <c r="Q10">
        <v>5.37</v>
      </c>
      <c r="R10">
        <v>1.54</v>
      </c>
      <c r="S10">
        <v>0</v>
      </c>
      <c r="T10" t="s">
        <v>52</v>
      </c>
      <c r="U10">
        <f t="shared" si="0"/>
        <v>1</v>
      </c>
      <c r="V10" t="str">
        <f t="shared" si="1"/>
        <v>MLB</v>
      </c>
      <c r="W10" t="s">
        <v>1414</v>
      </c>
    </row>
    <row r="11" spans="1:23">
      <c r="A11">
        <v>2009</v>
      </c>
      <c r="B11" t="s">
        <v>537</v>
      </c>
      <c r="C11">
        <v>10</v>
      </c>
      <c r="D11">
        <v>10</v>
      </c>
      <c r="E11" t="s">
        <v>53</v>
      </c>
      <c r="F11" t="s">
        <v>677</v>
      </c>
      <c r="G11" t="s">
        <v>8</v>
      </c>
      <c r="H11">
        <v>4.8</v>
      </c>
      <c r="N11">
        <v>470</v>
      </c>
      <c r="O11">
        <v>29</v>
      </c>
      <c r="P11">
        <v>18</v>
      </c>
      <c r="Q11">
        <v>3.45</v>
      </c>
      <c r="R11">
        <v>1.19</v>
      </c>
      <c r="S11">
        <v>99</v>
      </c>
      <c r="T11" t="s">
        <v>34</v>
      </c>
      <c r="U11">
        <f t="shared" si="0"/>
        <v>0</v>
      </c>
      <c r="V11" t="str">
        <f t="shared" si="1"/>
        <v>MLB</v>
      </c>
      <c r="W11" t="s">
        <v>1415</v>
      </c>
    </row>
    <row r="12" spans="1:23">
      <c r="A12">
        <v>2009</v>
      </c>
      <c r="B12">
        <v>1</v>
      </c>
      <c r="C12">
        <v>11</v>
      </c>
      <c r="D12">
        <v>11</v>
      </c>
      <c r="E12" t="s">
        <v>37</v>
      </c>
      <c r="F12" t="s">
        <v>678</v>
      </c>
      <c r="G12" t="s">
        <v>9</v>
      </c>
      <c r="H12">
        <v>5.4</v>
      </c>
      <c r="N12">
        <v>175</v>
      </c>
      <c r="O12">
        <v>16</v>
      </c>
      <c r="P12">
        <v>21</v>
      </c>
      <c r="Q12">
        <v>3.73</v>
      </c>
      <c r="R12">
        <v>1.39</v>
      </c>
      <c r="S12">
        <v>1</v>
      </c>
      <c r="T12" t="s">
        <v>52</v>
      </c>
      <c r="U12">
        <f t="shared" si="0"/>
        <v>1</v>
      </c>
      <c r="V12" t="str">
        <f t="shared" si="1"/>
        <v>MLB</v>
      </c>
      <c r="W12" t="s">
        <v>1416</v>
      </c>
    </row>
    <row r="13" spans="1:23">
      <c r="A13">
        <v>2009</v>
      </c>
      <c r="B13">
        <v>1</v>
      </c>
      <c r="C13">
        <v>12</v>
      </c>
      <c r="D13">
        <v>12</v>
      </c>
      <c r="E13" t="s">
        <v>43</v>
      </c>
      <c r="F13" t="s">
        <v>679</v>
      </c>
      <c r="G13" t="s">
        <v>8</v>
      </c>
      <c r="H13">
        <v>2.7</v>
      </c>
      <c r="N13">
        <v>254</v>
      </c>
      <c r="O13">
        <v>20</v>
      </c>
      <c r="P13">
        <v>11</v>
      </c>
      <c r="Q13">
        <v>3.43</v>
      </c>
      <c r="R13">
        <v>1.32</v>
      </c>
      <c r="S13">
        <v>6</v>
      </c>
      <c r="U13">
        <f t="shared" si="0"/>
        <v>0</v>
      </c>
      <c r="V13" t="str">
        <f t="shared" si="1"/>
        <v>MLB</v>
      </c>
      <c r="W13" t="s">
        <v>1378</v>
      </c>
    </row>
    <row r="14" spans="1:23">
      <c r="A14">
        <v>2009</v>
      </c>
      <c r="B14">
        <v>1</v>
      </c>
      <c r="C14">
        <v>13</v>
      </c>
      <c r="D14">
        <v>13</v>
      </c>
      <c r="E14" t="s">
        <v>39</v>
      </c>
      <c r="F14" t="s">
        <v>680</v>
      </c>
      <c r="G14" t="s">
        <v>5</v>
      </c>
      <c r="H14">
        <v>-1.6</v>
      </c>
      <c r="I14">
        <v>129</v>
      </c>
      <c r="J14">
        <v>330</v>
      </c>
      <c r="K14">
        <v>4</v>
      </c>
      <c r="L14">
        <v>0.248</v>
      </c>
      <c r="M14">
        <v>0.62</v>
      </c>
      <c r="T14" t="s">
        <v>34</v>
      </c>
      <c r="U14">
        <f t="shared" si="0"/>
        <v>0</v>
      </c>
      <c r="V14" t="str">
        <f t="shared" si="1"/>
        <v>MLB</v>
      </c>
      <c r="W14" t="s">
        <v>1417</v>
      </c>
    </row>
    <row r="15" spans="1:23">
      <c r="A15">
        <v>2009</v>
      </c>
      <c r="B15">
        <v>1</v>
      </c>
      <c r="C15">
        <v>14</v>
      </c>
      <c r="D15">
        <v>14</v>
      </c>
      <c r="E15" t="s">
        <v>93</v>
      </c>
      <c r="F15" t="s">
        <v>681</v>
      </c>
      <c r="G15" t="s">
        <v>9</v>
      </c>
      <c r="H15">
        <v>-0.1</v>
      </c>
      <c r="N15">
        <v>12</v>
      </c>
      <c r="O15">
        <v>0</v>
      </c>
      <c r="P15">
        <v>1</v>
      </c>
      <c r="Q15">
        <v>5.5</v>
      </c>
      <c r="R15">
        <v>1.78</v>
      </c>
      <c r="S15">
        <v>0</v>
      </c>
      <c r="T15" t="s">
        <v>52</v>
      </c>
      <c r="U15">
        <f t="shared" si="0"/>
        <v>1</v>
      </c>
      <c r="V15" t="str">
        <f t="shared" si="1"/>
        <v>MLB</v>
      </c>
      <c r="W15" t="s">
        <v>1418</v>
      </c>
    </row>
    <row r="16" spans="1:23">
      <c r="A16">
        <v>2009</v>
      </c>
      <c r="B16">
        <v>1</v>
      </c>
      <c r="C16">
        <v>15</v>
      </c>
      <c r="D16">
        <v>15</v>
      </c>
      <c r="E16" t="s">
        <v>206</v>
      </c>
      <c r="F16" t="s">
        <v>682</v>
      </c>
      <c r="G16" t="s">
        <v>8</v>
      </c>
      <c r="H16">
        <v>-0.4</v>
      </c>
      <c r="N16">
        <v>33</v>
      </c>
      <c r="O16">
        <v>5</v>
      </c>
      <c r="P16">
        <v>13</v>
      </c>
      <c r="Q16">
        <v>6.03</v>
      </c>
      <c r="R16">
        <v>1.69</v>
      </c>
      <c r="S16">
        <v>0</v>
      </c>
      <c r="T16" t="s">
        <v>34</v>
      </c>
      <c r="U16">
        <f t="shared" si="0"/>
        <v>0</v>
      </c>
      <c r="V16" t="str">
        <f t="shared" si="1"/>
        <v>MLB</v>
      </c>
      <c r="W16" t="s">
        <v>1419</v>
      </c>
    </row>
    <row r="17" spans="1:23">
      <c r="A17">
        <v>2009</v>
      </c>
      <c r="B17">
        <v>1</v>
      </c>
      <c r="C17">
        <v>16</v>
      </c>
      <c r="D17">
        <v>16</v>
      </c>
      <c r="E17" t="s">
        <v>91</v>
      </c>
      <c r="F17" t="s">
        <v>683</v>
      </c>
      <c r="G17" t="s">
        <v>11</v>
      </c>
      <c r="T17" t="s">
        <v>52</v>
      </c>
      <c r="U17">
        <f t="shared" si="0"/>
        <v>1</v>
      </c>
      <c r="V17" t="s">
        <v>13</v>
      </c>
      <c r="W17">
        <v>-9999</v>
      </c>
    </row>
    <row r="18" spans="1:23">
      <c r="A18">
        <v>2009</v>
      </c>
      <c r="B18">
        <v>1</v>
      </c>
      <c r="C18">
        <v>17</v>
      </c>
      <c r="D18">
        <v>17</v>
      </c>
      <c r="E18" t="s">
        <v>684</v>
      </c>
      <c r="F18" t="s">
        <v>685</v>
      </c>
      <c r="G18" t="s">
        <v>237</v>
      </c>
      <c r="H18">
        <v>22.1</v>
      </c>
      <c r="I18">
        <v>1087</v>
      </c>
      <c r="J18">
        <v>3787</v>
      </c>
      <c r="K18">
        <v>145</v>
      </c>
      <c r="L18">
        <v>0.27300000000000002</v>
      </c>
      <c r="M18">
        <v>0.79100000000000004</v>
      </c>
      <c r="T18" t="s">
        <v>34</v>
      </c>
      <c r="U18">
        <f t="shared" si="0"/>
        <v>0</v>
      </c>
      <c r="V18" t="str">
        <f t="shared" si="1"/>
        <v>MLB</v>
      </c>
      <c r="W18" t="s">
        <v>1420</v>
      </c>
    </row>
    <row r="19" spans="1:23">
      <c r="A19">
        <v>2009</v>
      </c>
      <c r="B19">
        <v>1</v>
      </c>
      <c r="C19">
        <v>18</v>
      </c>
      <c r="D19">
        <v>18</v>
      </c>
      <c r="E19" t="s">
        <v>65</v>
      </c>
      <c r="F19" t="s">
        <v>686</v>
      </c>
      <c r="G19" t="s">
        <v>9</v>
      </c>
      <c r="T19" t="s">
        <v>52</v>
      </c>
      <c r="U19">
        <f t="shared" si="0"/>
        <v>1</v>
      </c>
      <c r="V19" t="s">
        <v>13</v>
      </c>
      <c r="W19">
        <v>-9999</v>
      </c>
    </row>
    <row r="20" spans="1:23">
      <c r="A20">
        <v>2009</v>
      </c>
      <c r="B20">
        <v>1</v>
      </c>
      <c r="C20">
        <v>19</v>
      </c>
      <c r="D20">
        <v>19</v>
      </c>
      <c r="E20" t="s">
        <v>46</v>
      </c>
      <c r="F20" t="s">
        <v>687</v>
      </c>
      <c r="G20" t="s">
        <v>8</v>
      </c>
      <c r="H20">
        <v>10.4</v>
      </c>
      <c r="N20">
        <v>302</v>
      </c>
      <c r="O20">
        <v>51</v>
      </c>
      <c r="P20">
        <v>69</v>
      </c>
      <c r="Q20">
        <v>4.04</v>
      </c>
      <c r="R20">
        <v>1.31</v>
      </c>
      <c r="S20">
        <v>13</v>
      </c>
      <c r="T20" t="s">
        <v>52</v>
      </c>
      <c r="U20">
        <f t="shared" si="0"/>
        <v>1</v>
      </c>
      <c r="V20" t="str">
        <f t="shared" si="1"/>
        <v>MLB</v>
      </c>
      <c r="W20" t="s">
        <v>1421</v>
      </c>
    </row>
    <row r="21" spans="1:23">
      <c r="A21">
        <v>2009</v>
      </c>
      <c r="B21">
        <v>1</v>
      </c>
      <c r="C21">
        <v>20</v>
      </c>
      <c r="D21">
        <v>20</v>
      </c>
      <c r="E21" t="s">
        <v>73</v>
      </c>
      <c r="F21" t="s">
        <v>688</v>
      </c>
      <c r="G21" t="s">
        <v>8</v>
      </c>
      <c r="H21">
        <v>1.4</v>
      </c>
      <c r="N21">
        <v>46</v>
      </c>
      <c r="O21">
        <v>3</v>
      </c>
      <c r="P21">
        <v>4</v>
      </c>
      <c r="Q21">
        <v>3.31</v>
      </c>
      <c r="R21">
        <v>1.25</v>
      </c>
      <c r="S21">
        <v>0</v>
      </c>
      <c r="T21" t="s">
        <v>34</v>
      </c>
      <c r="U21">
        <f t="shared" si="0"/>
        <v>0</v>
      </c>
      <c r="V21" t="str">
        <f t="shared" si="1"/>
        <v>MLB</v>
      </c>
      <c r="W21" t="s">
        <v>1422</v>
      </c>
    </row>
    <row r="22" spans="1:23">
      <c r="A22">
        <v>2009</v>
      </c>
      <c r="B22">
        <v>1</v>
      </c>
      <c r="C22">
        <v>21</v>
      </c>
      <c r="D22">
        <v>21</v>
      </c>
      <c r="E22" t="s">
        <v>89</v>
      </c>
      <c r="F22" t="s">
        <v>689</v>
      </c>
      <c r="G22" t="s">
        <v>5</v>
      </c>
      <c r="T22" t="s">
        <v>52</v>
      </c>
      <c r="U22">
        <f t="shared" si="0"/>
        <v>1</v>
      </c>
      <c r="V22" t="s">
        <v>12</v>
      </c>
      <c r="W22">
        <v>-9999</v>
      </c>
    </row>
    <row r="23" spans="1:23">
      <c r="A23">
        <v>2009</v>
      </c>
      <c r="B23">
        <v>1</v>
      </c>
      <c r="C23">
        <v>22</v>
      </c>
      <c r="D23">
        <v>22</v>
      </c>
      <c r="E23" t="s">
        <v>75</v>
      </c>
      <c r="F23" t="s">
        <v>690</v>
      </c>
      <c r="G23" t="s">
        <v>8</v>
      </c>
      <c r="H23">
        <v>14.5</v>
      </c>
      <c r="N23">
        <v>334</v>
      </c>
      <c r="O23">
        <v>112</v>
      </c>
      <c r="P23">
        <v>111</v>
      </c>
      <c r="Q23">
        <v>4.5999999999999996</v>
      </c>
      <c r="R23">
        <v>1.38</v>
      </c>
      <c r="S23">
        <v>0</v>
      </c>
      <c r="T23" t="s">
        <v>34</v>
      </c>
      <c r="U23">
        <f t="shared" si="0"/>
        <v>0</v>
      </c>
      <c r="V23" t="str">
        <f t="shared" si="1"/>
        <v>MLB</v>
      </c>
      <c r="W23" t="s">
        <v>1423</v>
      </c>
    </row>
    <row r="24" spans="1:23">
      <c r="A24">
        <v>2009</v>
      </c>
      <c r="B24">
        <v>1</v>
      </c>
      <c r="C24">
        <v>23</v>
      </c>
      <c r="D24">
        <v>23</v>
      </c>
      <c r="E24" t="s">
        <v>41</v>
      </c>
      <c r="F24" t="s">
        <v>691</v>
      </c>
      <c r="G24" t="s">
        <v>237</v>
      </c>
      <c r="T24" t="s">
        <v>34</v>
      </c>
      <c r="U24">
        <f t="shared" si="0"/>
        <v>0</v>
      </c>
      <c r="V24" t="s">
        <v>12</v>
      </c>
      <c r="W24">
        <v>-9999</v>
      </c>
    </row>
    <row r="25" spans="1:23">
      <c r="A25">
        <v>2009</v>
      </c>
      <c r="B25">
        <v>1</v>
      </c>
      <c r="C25">
        <v>24</v>
      </c>
      <c r="D25">
        <v>24</v>
      </c>
      <c r="E25" t="s">
        <v>692</v>
      </c>
      <c r="F25" t="s">
        <v>693</v>
      </c>
      <c r="G25" t="s">
        <v>653</v>
      </c>
      <c r="H25">
        <v>13.7</v>
      </c>
      <c r="I25">
        <v>1383</v>
      </c>
      <c r="J25">
        <v>4538</v>
      </c>
      <c r="K25">
        <v>214</v>
      </c>
      <c r="L25">
        <v>0.25</v>
      </c>
      <c r="M25">
        <v>0.76200000000000001</v>
      </c>
      <c r="T25" t="s">
        <v>52</v>
      </c>
      <c r="U25">
        <f t="shared" si="0"/>
        <v>1</v>
      </c>
      <c r="V25" t="str">
        <f t="shared" si="1"/>
        <v>MLB</v>
      </c>
      <c r="W25" t="s">
        <v>1424</v>
      </c>
    </row>
    <row r="26" spans="1:23">
      <c r="A26">
        <v>2009</v>
      </c>
      <c r="B26">
        <v>1</v>
      </c>
      <c r="C26">
        <v>25</v>
      </c>
      <c r="D26">
        <v>25</v>
      </c>
      <c r="E26" t="s">
        <v>694</v>
      </c>
      <c r="F26" t="s">
        <v>695</v>
      </c>
      <c r="G26" t="s">
        <v>237</v>
      </c>
      <c r="H26">
        <v>89.5</v>
      </c>
      <c r="I26">
        <v>1691</v>
      </c>
      <c r="J26">
        <v>6120</v>
      </c>
      <c r="K26">
        <v>415</v>
      </c>
      <c r="L26">
        <v>0.29299999999999998</v>
      </c>
      <c r="M26">
        <v>0.97499999999999998</v>
      </c>
      <c r="T26" t="s">
        <v>52</v>
      </c>
      <c r="U26">
        <f t="shared" si="0"/>
        <v>1</v>
      </c>
      <c r="V26" t="str">
        <f t="shared" si="1"/>
        <v>MLB</v>
      </c>
      <c r="W26" t="s">
        <v>1425</v>
      </c>
    </row>
    <row r="27" spans="1:23">
      <c r="A27">
        <v>2009</v>
      </c>
      <c r="B27">
        <v>1</v>
      </c>
      <c r="C27">
        <v>26</v>
      </c>
      <c r="D27">
        <v>26</v>
      </c>
      <c r="E27" t="s">
        <v>67</v>
      </c>
      <c r="F27" t="s">
        <v>696</v>
      </c>
      <c r="G27" t="s">
        <v>8</v>
      </c>
      <c r="T27" t="s">
        <v>34</v>
      </c>
      <c r="U27">
        <f t="shared" si="0"/>
        <v>0</v>
      </c>
      <c r="V27" t="s">
        <v>14</v>
      </c>
      <c r="W27">
        <v>-9999</v>
      </c>
    </row>
    <row r="28" spans="1:23">
      <c r="A28">
        <v>2009</v>
      </c>
      <c r="B28">
        <v>1</v>
      </c>
      <c r="C28">
        <v>27</v>
      </c>
      <c r="D28">
        <v>27</v>
      </c>
      <c r="E28" t="s">
        <v>697</v>
      </c>
      <c r="F28" t="s">
        <v>698</v>
      </c>
      <c r="G28" t="s">
        <v>5</v>
      </c>
      <c r="H28">
        <v>1.3</v>
      </c>
      <c r="I28">
        <v>301</v>
      </c>
      <c r="J28">
        <v>833</v>
      </c>
      <c r="K28">
        <v>24</v>
      </c>
      <c r="L28">
        <v>0.214</v>
      </c>
      <c r="M28">
        <v>0.64400000000000002</v>
      </c>
      <c r="T28" t="s">
        <v>52</v>
      </c>
      <c r="U28">
        <f t="shared" si="0"/>
        <v>1</v>
      </c>
      <c r="V28" t="str">
        <f t="shared" si="1"/>
        <v>MLB</v>
      </c>
      <c r="W28" t="s">
        <v>1426</v>
      </c>
    </row>
    <row r="29" spans="1:23">
      <c r="A29">
        <v>2009</v>
      </c>
      <c r="B29">
        <v>1</v>
      </c>
      <c r="C29">
        <v>28</v>
      </c>
      <c r="D29">
        <v>28</v>
      </c>
      <c r="E29" t="s">
        <v>57</v>
      </c>
      <c r="F29" t="s">
        <v>699</v>
      </c>
      <c r="G29" t="s">
        <v>237</v>
      </c>
      <c r="H29">
        <v>-0.6</v>
      </c>
      <c r="I29">
        <v>100</v>
      </c>
      <c r="J29">
        <v>210</v>
      </c>
      <c r="K29">
        <v>3</v>
      </c>
      <c r="L29">
        <v>0.23799999999999999</v>
      </c>
      <c r="M29">
        <v>0.59499999999999997</v>
      </c>
      <c r="T29" t="s">
        <v>52</v>
      </c>
      <c r="U29">
        <f t="shared" si="0"/>
        <v>1</v>
      </c>
      <c r="V29" t="str">
        <f t="shared" si="1"/>
        <v>MLB</v>
      </c>
      <c r="W29" t="s">
        <v>1427</v>
      </c>
    </row>
    <row r="30" spans="1:23">
      <c r="A30">
        <v>2009</v>
      </c>
      <c r="B30" t="s">
        <v>537</v>
      </c>
      <c r="C30">
        <v>29</v>
      </c>
      <c r="D30">
        <v>29</v>
      </c>
      <c r="E30" t="s">
        <v>85</v>
      </c>
      <c r="F30" t="s">
        <v>700</v>
      </c>
      <c r="G30" t="s">
        <v>237</v>
      </c>
      <c r="H30">
        <v>0.4</v>
      </c>
      <c r="I30">
        <v>17</v>
      </c>
      <c r="J30">
        <v>25</v>
      </c>
      <c r="K30">
        <v>2</v>
      </c>
      <c r="L30">
        <v>0.4</v>
      </c>
      <c r="M30">
        <v>1.149</v>
      </c>
      <c r="T30" t="s">
        <v>52</v>
      </c>
      <c r="U30">
        <f t="shared" si="0"/>
        <v>1</v>
      </c>
      <c r="V30" t="str">
        <f t="shared" si="1"/>
        <v>MLB</v>
      </c>
      <c r="W30" t="s">
        <v>1428</v>
      </c>
    </row>
    <row r="31" spans="1:23">
      <c r="A31">
        <v>2009</v>
      </c>
      <c r="B31">
        <v>1</v>
      </c>
      <c r="C31">
        <v>30</v>
      </c>
      <c r="D31">
        <v>30</v>
      </c>
      <c r="E31" t="s">
        <v>69</v>
      </c>
      <c r="F31" t="s">
        <v>701</v>
      </c>
      <c r="G31" t="s">
        <v>0</v>
      </c>
      <c r="T31" t="s">
        <v>52</v>
      </c>
      <c r="U31">
        <f t="shared" si="0"/>
        <v>1</v>
      </c>
      <c r="V31" t="s">
        <v>14</v>
      </c>
      <c r="W31">
        <v>-9999</v>
      </c>
    </row>
    <row r="32" spans="1:23">
      <c r="A32">
        <v>2009</v>
      </c>
      <c r="B32">
        <v>1</v>
      </c>
      <c r="C32">
        <v>31</v>
      </c>
      <c r="D32">
        <v>31</v>
      </c>
      <c r="E32" t="s">
        <v>61</v>
      </c>
      <c r="F32" t="s">
        <v>702</v>
      </c>
      <c r="G32" t="s">
        <v>237</v>
      </c>
      <c r="H32">
        <v>0</v>
      </c>
      <c r="I32">
        <v>51</v>
      </c>
      <c r="J32">
        <v>124</v>
      </c>
      <c r="K32">
        <v>4</v>
      </c>
      <c r="L32">
        <v>0.16900000000000001</v>
      </c>
      <c r="M32">
        <v>0.63</v>
      </c>
      <c r="T32" t="s">
        <v>34</v>
      </c>
      <c r="U32">
        <f t="shared" si="0"/>
        <v>0</v>
      </c>
      <c r="V32" t="str">
        <f t="shared" si="1"/>
        <v>MLB</v>
      </c>
      <c r="W32" t="s">
        <v>1429</v>
      </c>
    </row>
    <row r="33" spans="1:23">
      <c r="A33">
        <v>2009</v>
      </c>
      <c r="B33">
        <v>1</v>
      </c>
      <c r="C33">
        <v>32</v>
      </c>
      <c r="D33">
        <v>32</v>
      </c>
      <c r="E33" t="s">
        <v>703</v>
      </c>
      <c r="F33" t="s">
        <v>704</v>
      </c>
      <c r="G33" t="s">
        <v>237</v>
      </c>
      <c r="T33" t="s">
        <v>34</v>
      </c>
      <c r="U33">
        <f t="shared" si="0"/>
        <v>0</v>
      </c>
      <c r="V33" t="s">
        <v>12</v>
      </c>
      <c r="W33">
        <v>-9999</v>
      </c>
    </row>
    <row r="34" spans="1:23">
      <c r="A34">
        <v>2009</v>
      </c>
      <c r="B34" t="s">
        <v>537</v>
      </c>
      <c r="C34">
        <v>33</v>
      </c>
      <c r="D34">
        <v>33</v>
      </c>
      <c r="E34" t="s">
        <v>63</v>
      </c>
      <c r="F34" t="s">
        <v>705</v>
      </c>
      <c r="G34" t="s">
        <v>6</v>
      </c>
      <c r="H34">
        <v>-0.4</v>
      </c>
      <c r="I34">
        <v>13</v>
      </c>
      <c r="J34">
        <v>26</v>
      </c>
      <c r="K34">
        <v>0</v>
      </c>
      <c r="L34">
        <v>0.115</v>
      </c>
      <c r="M34">
        <v>0.26900000000000002</v>
      </c>
      <c r="T34" t="s">
        <v>52</v>
      </c>
      <c r="U34">
        <f t="shared" si="0"/>
        <v>1</v>
      </c>
      <c r="V34" t="str">
        <f t="shared" si="1"/>
        <v>MLB</v>
      </c>
      <c r="W34" t="s">
        <v>1430</v>
      </c>
    </row>
    <row r="35" spans="1:23">
      <c r="A35">
        <v>2009</v>
      </c>
      <c r="B35" t="s">
        <v>537</v>
      </c>
      <c r="C35">
        <v>34</v>
      </c>
      <c r="D35">
        <v>34</v>
      </c>
      <c r="E35" t="s">
        <v>37</v>
      </c>
      <c r="F35" t="s">
        <v>706</v>
      </c>
      <c r="G35" t="s">
        <v>9</v>
      </c>
      <c r="H35">
        <v>4.3</v>
      </c>
      <c r="N35">
        <v>374</v>
      </c>
      <c r="O35">
        <v>23</v>
      </c>
      <c r="P35">
        <v>16</v>
      </c>
      <c r="Q35">
        <v>4.08</v>
      </c>
      <c r="R35">
        <v>1.49</v>
      </c>
      <c r="S35">
        <v>21</v>
      </c>
      <c r="T35" t="s">
        <v>34</v>
      </c>
      <c r="U35">
        <f t="shared" si="0"/>
        <v>0</v>
      </c>
      <c r="V35" t="str">
        <f t="shared" si="1"/>
        <v>MLB</v>
      </c>
      <c r="W35" t="s">
        <v>1431</v>
      </c>
    </row>
    <row r="36" spans="1:23">
      <c r="A36">
        <v>2009</v>
      </c>
      <c r="B36" t="s">
        <v>537</v>
      </c>
      <c r="C36">
        <v>35</v>
      </c>
      <c r="D36">
        <v>35</v>
      </c>
      <c r="E36" t="s">
        <v>91</v>
      </c>
      <c r="F36" t="s">
        <v>707</v>
      </c>
      <c r="G36" t="s">
        <v>11</v>
      </c>
      <c r="H36">
        <v>-0.9</v>
      </c>
      <c r="I36">
        <v>306</v>
      </c>
      <c r="J36">
        <v>1003</v>
      </c>
      <c r="K36">
        <v>54</v>
      </c>
      <c r="L36">
        <v>0.22</v>
      </c>
      <c r="M36">
        <v>0.71899999999999997</v>
      </c>
      <c r="T36" t="s">
        <v>52</v>
      </c>
      <c r="U36">
        <f t="shared" si="0"/>
        <v>1</v>
      </c>
      <c r="V36" t="str">
        <f t="shared" si="1"/>
        <v>MLB</v>
      </c>
      <c r="W36" t="s">
        <v>1432</v>
      </c>
    </row>
    <row r="37" spans="1:23">
      <c r="A37">
        <v>2009</v>
      </c>
      <c r="B37" t="s">
        <v>537</v>
      </c>
      <c r="C37">
        <v>36</v>
      </c>
      <c r="D37">
        <v>36</v>
      </c>
      <c r="E37" t="s">
        <v>79</v>
      </c>
      <c r="F37" t="s">
        <v>708</v>
      </c>
      <c r="G37" t="s">
        <v>9</v>
      </c>
      <c r="T37" t="s">
        <v>34</v>
      </c>
      <c r="U37">
        <f t="shared" si="0"/>
        <v>0</v>
      </c>
      <c r="V37" t="s">
        <v>13</v>
      </c>
      <c r="W37">
        <v>-9999</v>
      </c>
    </row>
    <row r="38" spans="1:23">
      <c r="A38">
        <v>2009</v>
      </c>
      <c r="B38" t="s">
        <v>537</v>
      </c>
      <c r="C38">
        <v>37</v>
      </c>
      <c r="D38">
        <v>37</v>
      </c>
      <c r="E38" t="s">
        <v>73</v>
      </c>
      <c r="F38" t="s">
        <v>709</v>
      </c>
      <c r="G38" t="s">
        <v>9</v>
      </c>
      <c r="H38">
        <v>13.9</v>
      </c>
      <c r="N38">
        <v>177</v>
      </c>
      <c r="O38">
        <v>73</v>
      </c>
      <c r="P38">
        <v>41</v>
      </c>
      <c r="Q38">
        <v>3.77</v>
      </c>
      <c r="R38">
        <v>1.25</v>
      </c>
      <c r="S38">
        <v>0</v>
      </c>
      <c r="T38" t="s">
        <v>34</v>
      </c>
      <c r="U38">
        <f t="shared" si="0"/>
        <v>0</v>
      </c>
      <c r="V38" t="str">
        <f t="shared" si="1"/>
        <v>MLB</v>
      </c>
      <c r="W38" t="s">
        <v>1433</v>
      </c>
    </row>
    <row r="39" spans="1:23">
      <c r="A39">
        <v>2009</v>
      </c>
      <c r="B39" t="s">
        <v>537</v>
      </c>
      <c r="C39">
        <v>38</v>
      </c>
      <c r="D39">
        <v>38</v>
      </c>
      <c r="E39" t="s">
        <v>41</v>
      </c>
      <c r="F39" t="s">
        <v>710</v>
      </c>
      <c r="G39" t="s">
        <v>6</v>
      </c>
      <c r="H39">
        <v>2.2000000000000002</v>
      </c>
      <c r="I39">
        <v>387</v>
      </c>
      <c r="J39">
        <v>1116</v>
      </c>
      <c r="K39">
        <v>35</v>
      </c>
      <c r="L39">
        <v>0.22500000000000001</v>
      </c>
      <c r="M39">
        <v>0.64900000000000002</v>
      </c>
      <c r="T39" t="s">
        <v>34</v>
      </c>
      <c r="U39">
        <f t="shared" si="0"/>
        <v>0</v>
      </c>
      <c r="V39" t="str">
        <f t="shared" si="1"/>
        <v>MLB</v>
      </c>
      <c r="W39" t="s">
        <v>1434</v>
      </c>
    </row>
    <row r="40" spans="1:23">
      <c r="A40">
        <v>2009</v>
      </c>
      <c r="B40" t="s">
        <v>537</v>
      </c>
      <c r="C40">
        <v>39</v>
      </c>
      <c r="D40">
        <v>39</v>
      </c>
      <c r="E40" t="s">
        <v>67</v>
      </c>
      <c r="F40" t="s">
        <v>711</v>
      </c>
      <c r="G40" t="s">
        <v>237</v>
      </c>
      <c r="T40" t="s">
        <v>34</v>
      </c>
      <c r="U40">
        <f t="shared" si="0"/>
        <v>0</v>
      </c>
      <c r="V40" t="s">
        <v>12</v>
      </c>
      <c r="W40">
        <v>-9999</v>
      </c>
    </row>
    <row r="41" spans="1:23">
      <c r="A41">
        <v>2009</v>
      </c>
      <c r="B41" t="s">
        <v>537</v>
      </c>
      <c r="C41">
        <v>40</v>
      </c>
      <c r="D41">
        <v>40</v>
      </c>
      <c r="E41" t="s">
        <v>48</v>
      </c>
      <c r="F41" t="s">
        <v>712</v>
      </c>
      <c r="G41" t="s">
        <v>9</v>
      </c>
      <c r="H41">
        <v>3.6</v>
      </c>
      <c r="N41">
        <v>96</v>
      </c>
      <c r="O41">
        <v>28</v>
      </c>
      <c r="P41">
        <v>38</v>
      </c>
      <c r="Q41">
        <v>4.41</v>
      </c>
      <c r="R41">
        <v>1.33</v>
      </c>
      <c r="S41">
        <v>0</v>
      </c>
      <c r="T41" t="s">
        <v>52</v>
      </c>
      <c r="U41">
        <f t="shared" si="0"/>
        <v>1</v>
      </c>
      <c r="V41" t="str">
        <f t="shared" si="1"/>
        <v>MLB</v>
      </c>
      <c r="W41" t="s">
        <v>1435</v>
      </c>
    </row>
    <row r="42" spans="1:23">
      <c r="A42">
        <v>2009</v>
      </c>
      <c r="B42" t="s">
        <v>537</v>
      </c>
      <c r="C42">
        <v>41</v>
      </c>
      <c r="D42">
        <v>41</v>
      </c>
      <c r="E42" t="s">
        <v>91</v>
      </c>
      <c r="F42" t="s">
        <v>713</v>
      </c>
      <c r="G42" t="s">
        <v>5</v>
      </c>
      <c r="H42">
        <v>1.3</v>
      </c>
      <c r="I42">
        <v>720</v>
      </c>
      <c r="J42">
        <v>2305</v>
      </c>
      <c r="K42">
        <v>37</v>
      </c>
      <c r="L42">
        <v>0.23899999999999999</v>
      </c>
      <c r="M42">
        <v>0.65</v>
      </c>
      <c r="T42" t="s">
        <v>52</v>
      </c>
      <c r="U42">
        <f t="shared" si="0"/>
        <v>1</v>
      </c>
      <c r="V42" t="str">
        <f t="shared" si="1"/>
        <v>MLB</v>
      </c>
      <c r="W42" t="s">
        <v>1436</v>
      </c>
    </row>
    <row r="43" spans="1:23">
      <c r="A43">
        <v>2009</v>
      </c>
      <c r="B43" t="s">
        <v>537</v>
      </c>
      <c r="C43">
        <v>42</v>
      </c>
      <c r="D43">
        <v>42</v>
      </c>
      <c r="E43" t="s">
        <v>48</v>
      </c>
      <c r="F43" t="s">
        <v>714</v>
      </c>
      <c r="G43" t="s">
        <v>8</v>
      </c>
      <c r="H43">
        <v>8.3000000000000007</v>
      </c>
      <c r="N43">
        <v>259</v>
      </c>
      <c r="O43">
        <v>55</v>
      </c>
      <c r="P43">
        <v>50</v>
      </c>
      <c r="Q43">
        <v>3.87</v>
      </c>
      <c r="R43">
        <v>1.31</v>
      </c>
      <c r="S43">
        <v>6</v>
      </c>
      <c r="T43" t="s">
        <v>34</v>
      </c>
      <c r="U43">
        <f t="shared" si="0"/>
        <v>0</v>
      </c>
      <c r="V43" t="str">
        <f t="shared" si="1"/>
        <v>MLB</v>
      </c>
      <c r="W43" t="s">
        <v>1437</v>
      </c>
    </row>
    <row r="44" spans="1:23">
      <c r="A44">
        <v>2009</v>
      </c>
      <c r="B44" t="s">
        <v>537</v>
      </c>
      <c r="C44">
        <v>43</v>
      </c>
      <c r="D44">
        <v>43</v>
      </c>
      <c r="E44" t="s">
        <v>35</v>
      </c>
      <c r="F44" t="s">
        <v>715</v>
      </c>
      <c r="G44" t="s">
        <v>8</v>
      </c>
      <c r="H44">
        <v>4.4000000000000004</v>
      </c>
      <c r="N44">
        <v>506</v>
      </c>
      <c r="O44">
        <v>31</v>
      </c>
      <c r="P44">
        <v>38</v>
      </c>
      <c r="Q44">
        <v>3.5</v>
      </c>
      <c r="R44">
        <v>1.27</v>
      </c>
      <c r="S44">
        <v>84</v>
      </c>
      <c r="T44" t="s">
        <v>34</v>
      </c>
      <c r="U44">
        <f t="shared" si="0"/>
        <v>0</v>
      </c>
      <c r="V44" t="str">
        <f t="shared" si="1"/>
        <v>MLB</v>
      </c>
      <c r="W44" t="s">
        <v>1438</v>
      </c>
    </row>
    <row r="45" spans="1:23">
      <c r="A45">
        <v>2009</v>
      </c>
      <c r="B45" t="s">
        <v>537</v>
      </c>
      <c r="C45">
        <v>44</v>
      </c>
      <c r="D45">
        <v>44</v>
      </c>
      <c r="E45" t="s">
        <v>93</v>
      </c>
      <c r="F45" t="s">
        <v>716</v>
      </c>
      <c r="G45" t="s">
        <v>8</v>
      </c>
      <c r="H45">
        <v>0.9</v>
      </c>
      <c r="N45">
        <v>180</v>
      </c>
      <c r="O45">
        <v>12</v>
      </c>
      <c r="P45">
        <v>7</v>
      </c>
      <c r="Q45">
        <v>4.2300000000000004</v>
      </c>
      <c r="R45">
        <v>1.4</v>
      </c>
      <c r="S45">
        <v>3</v>
      </c>
      <c r="U45">
        <f t="shared" si="0"/>
        <v>0</v>
      </c>
      <c r="V45" t="str">
        <f t="shared" si="1"/>
        <v>MLB</v>
      </c>
      <c r="W45" t="s">
        <v>1439</v>
      </c>
    </row>
    <row r="46" spans="1:23">
      <c r="A46">
        <v>2009</v>
      </c>
      <c r="B46" t="s">
        <v>537</v>
      </c>
      <c r="C46">
        <v>45</v>
      </c>
      <c r="D46">
        <v>45</v>
      </c>
      <c r="E46" t="s">
        <v>91</v>
      </c>
      <c r="F46" t="s">
        <v>717</v>
      </c>
      <c r="G46" t="s">
        <v>9</v>
      </c>
      <c r="H46">
        <v>-0.1</v>
      </c>
      <c r="N46">
        <v>1</v>
      </c>
      <c r="O46">
        <v>0</v>
      </c>
      <c r="P46">
        <v>0</v>
      </c>
      <c r="Q46">
        <v>13.5</v>
      </c>
      <c r="R46">
        <v>3</v>
      </c>
      <c r="S46">
        <v>0</v>
      </c>
      <c r="T46" t="s">
        <v>34</v>
      </c>
      <c r="U46">
        <f t="shared" si="0"/>
        <v>0</v>
      </c>
      <c r="V46" t="str">
        <f t="shared" si="1"/>
        <v>MLB</v>
      </c>
      <c r="W46" t="s">
        <v>1440</v>
      </c>
    </row>
    <row r="47" spans="1:23">
      <c r="A47">
        <v>2009</v>
      </c>
      <c r="B47" t="s">
        <v>537</v>
      </c>
      <c r="C47">
        <v>46</v>
      </c>
      <c r="D47">
        <v>46</v>
      </c>
      <c r="E47" t="s">
        <v>75</v>
      </c>
      <c r="F47" t="s">
        <v>718</v>
      </c>
      <c r="G47" t="s">
        <v>9</v>
      </c>
      <c r="T47" t="s">
        <v>34</v>
      </c>
      <c r="U47">
        <f t="shared" si="0"/>
        <v>0</v>
      </c>
      <c r="V47" t="s">
        <v>14</v>
      </c>
      <c r="W47">
        <v>-9999</v>
      </c>
    </row>
    <row r="48" spans="1:23">
      <c r="A48">
        <v>2009</v>
      </c>
      <c r="B48" t="s">
        <v>537</v>
      </c>
      <c r="C48">
        <v>47</v>
      </c>
      <c r="D48">
        <v>47</v>
      </c>
      <c r="E48" t="s">
        <v>67</v>
      </c>
      <c r="F48" t="s">
        <v>719</v>
      </c>
      <c r="G48" t="s">
        <v>8</v>
      </c>
      <c r="T48" t="s">
        <v>34</v>
      </c>
      <c r="U48">
        <f t="shared" si="0"/>
        <v>0</v>
      </c>
      <c r="V48" t="s">
        <v>12</v>
      </c>
      <c r="W48">
        <v>-9999</v>
      </c>
    </row>
    <row r="49" spans="1:23">
      <c r="A49">
        <v>2009</v>
      </c>
      <c r="B49" t="s">
        <v>537</v>
      </c>
      <c r="C49">
        <v>48</v>
      </c>
      <c r="D49">
        <v>48</v>
      </c>
      <c r="E49" t="s">
        <v>48</v>
      </c>
      <c r="F49" t="s">
        <v>720</v>
      </c>
      <c r="G49" t="s">
        <v>9</v>
      </c>
      <c r="T49" t="s">
        <v>34</v>
      </c>
      <c r="U49">
        <f t="shared" si="0"/>
        <v>0</v>
      </c>
      <c r="V49" t="s">
        <v>14</v>
      </c>
      <c r="W49">
        <v>-9999</v>
      </c>
    </row>
    <row r="50" spans="1:23">
      <c r="A50">
        <v>2009</v>
      </c>
      <c r="B50" t="s">
        <v>537</v>
      </c>
      <c r="C50">
        <v>49</v>
      </c>
      <c r="D50">
        <v>49</v>
      </c>
      <c r="E50" t="s">
        <v>50</v>
      </c>
      <c r="F50" t="s">
        <v>721</v>
      </c>
      <c r="G50" t="s">
        <v>8</v>
      </c>
      <c r="H50">
        <v>0.5</v>
      </c>
      <c r="N50">
        <v>59</v>
      </c>
      <c r="O50">
        <v>5</v>
      </c>
      <c r="P50">
        <v>3</v>
      </c>
      <c r="Q50">
        <v>2.96</v>
      </c>
      <c r="R50">
        <v>1.32</v>
      </c>
      <c r="S50">
        <v>1</v>
      </c>
      <c r="T50" t="s">
        <v>34</v>
      </c>
      <c r="U50">
        <f t="shared" si="0"/>
        <v>0</v>
      </c>
      <c r="V50" t="str">
        <f t="shared" si="1"/>
        <v>MLB</v>
      </c>
      <c r="W50" t="s">
        <v>1441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52EF-FA28-494E-AECA-9D4719C0F125}">
  <dimension ref="A1:W51"/>
  <sheetViews>
    <sheetView workbookViewId="0">
      <selection activeCell="W1" sqref="W1"/>
    </sheetView>
  </sheetViews>
  <sheetFormatPr defaultRowHeight="14.5"/>
  <cols>
    <col min="1" max="1" width="4.81640625" bestFit="1" customWidth="1"/>
    <col min="2" max="2" width="3.90625" bestFit="1" customWidth="1"/>
    <col min="3" max="3" width="6" bestFit="1" customWidth="1"/>
    <col min="4" max="4" width="5.90625" bestFit="1" customWidth="1"/>
    <col min="5" max="5" width="16.36328125" bestFit="1" customWidth="1"/>
    <col min="6" max="6" width="26.453125" bestFit="1" customWidth="1"/>
    <col min="7" max="7" width="4.26953125" bestFit="1" customWidth="1"/>
    <col min="8" max="10" width="4.81640625" bestFit="1" customWidth="1"/>
    <col min="11" max="11" width="3.81640625" bestFit="1" customWidth="1"/>
    <col min="12" max="13" width="5.81640625" bestFit="1" customWidth="1"/>
    <col min="14" max="15" width="3.81640625" bestFit="1" customWidth="1"/>
    <col min="16" max="16" width="2.81640625" bestFit="1" customWidth="1"/>
    <col min="17" max="17" width="4.81640625" bestFit="1" customWidth="1"/>
    <col min="18" max="18" width="5.26953125" bestFit="1" customWidth="1"/>
    <col min="19" max="19" width="2.90625" bestFit="1" customWidth="1"/>
    <col min="20" max="20" width="4.54296875" bestFit="1" customWidth="1"/>
    <col min="21" max="21" width="4" bestFit="1" customWidth="1"/>
  </cols>
  <sheetData>
    <row r="1" spans="1:23">
      <c r="A1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>
        <v>2010</v>
      </c>
      <c r="B2">
        <v>1</v>
      </c>
      <c r="C2">
        <v>1</v>
      </c>
      <c r="D2">
        <v>1</v>
      </c>
      <c r="E2" t="s">
        <v>53</v>
      </c>
      <c r="F2" t="s">
        <v>613</v>
      </c>
      <c r="G2" t="s">
        <v>2</v>
      </c>
      <c r="H2">
        <v>54.6</v>
      </c>
      <c r="I2">
        <v>1828</v>
      </c>
      <c r="J2">
        <v>6589</v>
      </c>
      <c r="K2">
        <v>373</v>
      </c>
      <c r="L2">
        <v>0.28000000000000003</v>
      </c>
      <c r="M2">
        <v>0.90500000000000003</v>
      </c>
      <c r="T2" t="s">
        <v>163</v>
      </c>
      <c r="U2">
        <f>IF(ISNUMBER(SEARCH("HS",T2)),1,0)</f>
        <v>0</v>
      </c>
      <c r="V2" t="str">
        <f>IF(ISNUMBER(H2),"MLB","")</f>
        <v>MLB</v>
      </c>
      <c r="W2" t="s">
        <v>1442</v>
      </c>
    </row>
    <row r="3" spans="1:23">
      <c r="A3">
        <v>2010</v>
      </c>
      <c r="B3">
        <v>1</v>
      </c>
      <c r="C3">
        <v>2</v>
      </c>
      <c r="D3">
        <v>2</v>
      </c>
      <c r="E3" t="s">
        <v>50</v>
      </c>
      <c r="F3" t="s">
        <v>614</v>
      </c>
      <c r="G3" t="s">
        <v>8</v>
      </c>
      <c r="H3">
        <v>15.1</v>
      </c>
      <c r="N3">
        <v>232</v>
      </c>
      <c r="O3">
        <v>84</v>
      </c>
      <c r="P3">
        <v>62</v>
      </c>
      <c r="Q3">
        <v>3.87</v>
      </c>
      <c r="R3">
        <v>1.19</v>
      </c>
      <c r="S3">
        <v>1</v>
      </c>
      <c r="T3" t="s">
        <v>52</v>
      </c>
      <c r="U3">
        <f t="shared" ref="U3:U51" si="0">IF(ISNUMBER(SEARCH("HS",T3)),1,0)</f>
        <v>1</v>
      </c>
      <c r="V3" t="str">
        <f t="shared" ref="V3:V51" si="1">IF(ISNUMBER(H3),"MLB","")</f>
        <v>MLB</v>
      </c>
      <c r="W3" t="s">
        <v>1443</v>
      </c>
    </row>
    <row r="4" spans="1:23">
      <c r="A4">
        <v>2010</v>
      </c>
      <c r="B4">
        <v>1</v>
      </c>
      <c r="C4">
        <v>3</v>
      </c>
      <c r="D4">
        <v>3</v>
      </c>
      <c r="E4" t="s">
        <v>77</v>
      </c>
      <c r="F4" t="s">
        <v>615</v>
      </c>
      <c r="G4" t="s">
        <v>5</v>
      </c>
      <c r="H4">
        <v>61.8</v>
      </c>
      <c r="I4">
        <v>1934</v>
      </c>
      <c r="J4">
        <v>7568</v>
      </c>
      <c r="K4">
        <v>375</v>
      </c>
      <c r="L4">
        <v>0.27700000000000002</v>
      </c>
      <c r="M4">
        <v>0.82</v>
      </c>
      <c r="T4" t="s">
        <v>52</v>
      </c>
      <c r="U4">
        <f t="shared" si="0"/>
        <v>1</v>
      </c>
      <c r="V4" t="str">
        <f t="shared" si="1"/>
        <v>MLB</v>
      </c>
      <c r="W4" t="s">
        <v>1444</v>
      </c>
    </row>
    <row r="5" spans="1:23">
      <c r="A5">
        <v>2010</v>
      </c>
      <c r="B5">
        <v>1</v>
      </c>
      <c r="C5">
        <v>4</v>
      </c>
      <c r="D5">
        <v>4</v>
      </c>
      <c r="E5" t="s">
        <v>43</v>
      </c>
      <c r="F5" t="s">
        <v>616</v>
      </c>
      <c r="G5" t="s">
        <v>5</v>
      </c>
      <c r="H5">
        <v>1.3</v>
      </c>
      <c r="I5">
        <v>161</v>
      </c>
      <c r="J5">
        <v>378</v>
      </c>
      <c r="K5">
        <v>1</v>
      </c>
      <c r="L5">
        <v>0.249</v>
      </c>
      <c r="M5">
        <v>0.622</v>
      </c>
      <c r="T5" t="s">
        <v>34</v>
      </c>
      <c r="U5">
        <f t="shared" si="0"/>
        <v>0</v>
      </c>
      <c r="V5" t="str">
        <f t="shared" si="1"/>
        <v>MLB</v>
      </c>
      <c r="W5" t="s">
        <v>1445</v>
      </c>
    </row>
    <row r="6" spans="1:23">
      <c r="A6">
        <v>2010</v>
      </c>
      <c r="B6">
        <v>1</v>
      </c>
      <c r="C6">
        <v>5</v>
      </c>
      <c r="D6">
        <v>5</v>
      </c>
      <c r="E6" t="s">
        <v>206</v>
      </c>
      <c r="F6" t="s">
        <v>617</v>
      </c>
      <c r="G6" t="s">
        <v>9</v>
      </c>
      <c r="H6">
        <v>12.7</v>
      </c>
      <c r="N6">
        <v>363</v>
      </c>
      <c r="O6">
        <v>50</v>
      </c>
      <c r="P6">
        <v>63</v>
      </c>
      <c r="Q6">
        <v>3.87</v>
      </c>
      <c r="R6">
        <v>1.34</v>
      </c>
      <c r="S6">
        <v>10</v>
      </c>
      <c r="T6" t="s">
        <v>34</v>
      </c>
      <c r="U6">
        <f t="shared" si="0"/>
        <v>0</v>
      </c>
      <c r="V6" t="str">
        <f t="shared" si="1"/>
        <v>MLB</v>
      </c>
      <c r="W6" t="s">
        <v>1446</v>
      </c>
    </row>
    <row r="7" spans="1:23">
      <c r="A7">
        <v>2010</v>
      </c>
      <c r="B7">
        <v>1</v>
      </c>
      <c r="C7">
        <v>6</v>
      </c>
      <c r="D7">
        <v>6</v>
      </c>
      <c r="E7" t="s">
        <v>91</v>
      </c>
      <c r="F7" t="s">
        <v>618</v>
      </c>
      <c r="G7" t="s">
        <v>8</v>
      </c>
      <c r="T7" t="s">
        <v>34</v>
      </c>
      <c r="U7">
        <f t="shared" si="0"/>
        <v>0</v>
      </c>
      <c r="V7" t="s">
        <v>12</v>
      </c>
      <c r="W7">
        <v>-9999</v>
      </c>
    </row>
    <row r="8" spans="1:23">
      <c r="A8">
        <v>2010</v>
      </c>
      <c r="B8">
        <v>1</v>
      </c>
      <c r="C8">
        <v>7</v>
      </c>
      <c r="D8">
        <v>7</v>
      </c>
      <c r="E8" t="s">
        <v>71</v>
      </c>
      <c r="F8" t="s">
        <v>619</v>
      </c>
      <c r="G8" t="s">
        <v>8</v>
      </c>
      <c r="H8">
        <v>9.3000000000000007</v>
      </c>
      <c r="N8">
        <v>180</v>
      </c>
      <c r="O8">
        <v>50</v>
      </c>
      <c r="P8">
        <v>66</v>
      </c>
      <c r="Q8">
        <v>4.42</v>
      </c>
      <c r="R8">
        <v>1.29</v>
      </c>
      <c r="S8">
        <v>0</v>
      </c>
      <c r="T8" t="s">
        <v>34</v>
      </c>
      <c r="U8">
        <f t="shared" si="0"/>
        <v>0</v>
      </c>
      <c r="V8" t="str">
        <f t="shared" si="1"/>
        <v>MLB</v>
      </c>
      <c r="W8" t="s">
        <v>1447</v>
      </c>
    </row>
    <row r="9" spans="1:23">
      <c r="A9">
        <v>2010</v>
      </c>
      <c r="B9">
        <v>1</v>
      </c>
      <c r="C9">
        <v>8</v>
      </c>
      <c r="D9">
        <v>8</v>
      </c>
      <c r="E9" t="s">
        <v>89</v>
      </c>
      <c r="F9" t="s">
        <v>620</v>
      </c>
      <c r="G9" t="s">
        <v>237</v>
      </c>
      <c r="H9">
        <v>5.0999999999999996</v>
      </c>
      <c r="I9">
        <v>601</v>
      </c>
      <c r="J9">
        <v>1828</v>
      </c>
      <c r="K9">
        <v>19</v>
      </c>
      <c r="L9">
        <v>0.246</v>
      </c>
      <c r="M9">
        <v>0.66900000000000004</v>
      </c>
      <c r="T9" t="s">
        <v>52</v>
      </c>
      <c r="U9">
        <f t="shared" si="0"/>
        <v>1</v>
      </c>
      <c r="V9" t="str">
        <f t="shared" si="1"/>
        <v>MLB</v>
      </c>
      <c r="W9" t="s">
        <v>1448</v>
      </c>
    </row>
    <row r="10" spans="1:23">
      <c r="A10">
        <v>2010</v>
      </c>
      <c r="B10">
        <v>1</v>
      </c>
      <c r="C10">
        <v>9</v>
      </c>
      <c r="D10">
        <v>9</v>
      </c>
      <c r="E10" t="s">
        <v>83</v>
      </c>
      <c r="F10" t="s">
        <v>621</v>
      </c>
      <c r="G10" t="s">
        <v>8</v>
      </c>
      <c r="T10" t="s">
        <v>52</v>
      </c>
      <c r="U10">
        <f t="shared" si="0"/>
        <v>1</v>
      </c>
      <c r="V10" t="s">
        <v>1112</v>
      </c>
      <c r="W10">
        <v>-9999</v>
      </c>
    </row>
    <row r="11" spans="1:23">
      <c r="A11">
        <v>2010</v>
      </c>
      <c r="B11">
        <v>1</v>
      </c>
      <c r="C11">
        <v>10</v>
      </c>
      <c r="D11">
        <v>10</v>
      </c>
      <c r="E11" t="s">
        <v>39</v>
      </c>
      <c r="F11" t="s">
        <v>622</v>
      </c>
      <c r="G11" t="s">
        <v>237</v>
      </c>
      <c r="H11">
        <v>-2</v>
      </c>
      <c r="I11">
        <v>96</v>
      </c>
      <c r="J11">
        <v>272</v>
      </c>
      <c r="K11">
        <v>9</v>
      </c>
      <c r="L11">
        <v>0.188</v>
      </c>
      <c r="M11">
        <v>0.57299999999999995</v>
      </c>
      <c r="T11" t="s">
        <v>34</v>
      </c>
      <c r="U11">
        <f t="shared" si="0"/>
        <v>0</v>
      </c>
      <c r="V11" t="str">
        <f t="shared" si="1"/>
        <v>MLB</v>
      </c>
      <c r="W11" t="s">
        <v>1449</v>
      </c>
    </row>
    <row r="12" spans="1:23">
      <c r="A12">
        <v>2010</v>
      </c>
      <c r="B12">
        <v>1</v>
      </c>
      <c r="C12">
        <v>11</v>
      </c>
      <c r="D12">
        <v>11</v>
      </c>
      <c r="E12" t="s">
        <v>73</v>
      </c>
      <c r="F12" t="s">
        <v>623</v>
      </c>
      <c r="G12" t="s">
        <v>8</v>
      </c>
      <c r="H12">
        <v>-0.2</v>
      </c>
      <c r="N12">
        <v>27</v>
      </c>
      <c r="O12">
        <v>1</v>
      </c>
      <c r="P12">
        <v>3</v>
      </c>
      <c r="Q12">
        <v>5.23</v>
      </c>
      <c r="R12">
        <v>1.47</v>
      </c>
      <c r="S12">
        <v>0</v>
      </c>
      <c r="T12" t="s">
        <v>34</v>
      </c>
      <c r="U12">
        <f t="shared" si="0"/>
        <v>0</v>
      </c>
      <c r="V12" t="str">
        <f t="shared" si="1"/>
        <v>MLB</v>
      </c>
      <c r="W12" t="s">
        <v>1450</v>
      </c>
    </row>
    <row r="13" spans="1:23">
      <c r="A13">
        <v>2010</v>
      </c>
      <c r="B13">
        <v>1</v>
      </c>
      <c r="C13">
        <v>12</v>
      </c>
      <c r="D13">
        <v>12</v>
      </c>
      <c r="E13" t="s">
        <v>35</v>
      </c>
      <c r="F13" t="s">
        <v>624</v>
      </c>
      <c r="G13" t="s">
        <v>6</v>
      </c>
      <c r="H13">
        <v>20.2</v>
      </c>
      <c r="I13">
        <v>1307</v>
      </c>
      <c r="J13">
        <v>4138</v>
      </c>
      <c r="K13">
        <v>194</v>
      </c>
      <c r="L13">
        <v>0.23599999999999999</v>
      </c>
      <c r="M13">
        <v>0.76900000000000002</v>
      </c>
      <c r="T13" t="s">
        <v>34</v>
      </c>
      <c r="U13">
        <f t="shared" si="0"/>
        <v>0</v>
      </c>
      <c r="V13" t="str">
        <f t="shared" si="1"/>
        <v>MLB</v>
      </c>
      <c r="W13" t="s">
        <v>1451</v>
      </c>
    </row>
    <row r="14" spans="1:23">
      <c r="A14">
        <v>2010</v>
      </c>
      <c r="B14">
        <v>1</v>
      </c>
      <c r="C14">
        <v>13</v>
      </c>
      <c r="D14">
        <v>13</v>
      </c>
      <c r="E14" t="s">
        <v>41</v>
      </c>
      <c r="F14" t="s">
        <v>625</v>
      </c>
      <c r="G14" t="s">
        <v>9</v>
      </c>
      <c r="H14">
        <v>58.9</v>
      </c>
      <c r="N14">
        <v>401</v>
      </c>
      <c r="O14">
        <v>151</v>
      </c>
      <c r="P14">
        <v>90</v>
      </c>
      <c r="Q14">
        <v>2.99</v>
      </c>
      <c r="R14">
        <v>1.04</v>
      </c>
      <c r="S14">
        <v>12</v>
      </c>
      <c r="T14" t="s">
        <v>34</v>
      </c>
      <c r="U14">
        <f t="shared" si="0"/>
        <v>0</v>
      </c>
      <c r="V14" t="str">
        <f t="shared" si="1"/>
        <v>MLB</v>
      </c>
      <c r="W14" t="s">
        <v>1452</v>
      </c>
    </row>
    <row r="15" spans="1:23">
      <c r="A15">
        <v>2010</v>
      </c>
      <c r="B15">
        <v>1</v>
      </c>
      <c r="C15">
        <v>14</v>
      </c>
      <c r="D15">
        <v>14</v>
      </c>
      <c r="E15" t="s">
        <v>67</v>
      </c>
      <c r="F15" t="s">
        <v>626</v>
      </c>
      <c r="G15" t="s">
        <v>8</v>
      </c>
      <c r="H15">
        <v>-2.6</v>
      </c>
      <c r="N15">
        <v>100</v>
      </c>
      <c r="O15">
        <v>7</v>
      </c>
      <c r="P15">
        <v>32</v>
      </c>
      <c r="Q15">
        <v>6.18</v>
      </c>
      <c r="R15">
        <v>1.58</v>
      </c>
      <c r="S15">
        <v>0</v>
      </c>
      <c r="T15" t="s">
        <v>52</v>
      </c>
      <c r="U15">
        <f t="shared" si="0"/>
        <v>1</v>
      </c>
      <c r="V15" t="str">
        <f t="shared" si="1"/>
        <v>MLB</v>
      </c>
      <c r="W15" t="s">
        <v>1453</v>
      </c>
    </row>
    <row r="16" spans="1:23">
      <c r="A16">
        <v>2010</v>
      </c>
      <c r="B16" t="s">
        <v>537</v>
      </c>
      <c r="C16">
        <v>15</v>
      </c>
      <c r="D16">
        <v>15</v>
      </c>
      <c r="E16" t="s">
        <v>93</v>
      </c>
      <c r="F16" t="s">
        <v>627</v>
      </c>
      <c r="G16" t="s">
        <v>237</v>
      </c>
      <c r="T16" t="s">
        <v>52</v>
      </c>
      <c r="U16">
        <f t="shared" si="0"/>
        <v>1</v>
      </c>
      <c r="V16" t="s">
        <v>13</v>
      </c>
      <c r="W16">
        <v>-9999</v>
      </c>
    </row>
    <row r="17" spans="1:23">
      <c r="A17">
        <v>2010</v>
      </c>
      <c r="B17">
        <v>1</v>
      </c>
      <c r="C17">
        <v>16</v>
      </c>
      <c r="D17">
        <v>16</v>
      </c>
      <c r="E17" t="s">
        <v>61</v>
      </c>
      <c r="F17" t="s">
        <v>628</v>
      </c>
      <c r="G17" t="s">
        <v>8</v>
      </c>
      <c r="T17" t="s">
        <v>34</v>
      </c>
      <c r="U17">
        <f t="shared" si="0"/>
        <v>0</v>
      </c>
      <c r="V17" t="s">
        <v>14</v>
      </c>
      <c r="W17">
        <v>-9999</v>
      </c>
    </row>
    <row r="18" spans="1:23">
      <c r="A18">
        <v>2010</v>
      </c>
      <c r="B18">
        <v>1</v>
      </c>
      <c r="C18">
        <v>17</v>
      </c>
      <c r="D18">
        <v>17</v>
      </c>
      <c r="E18" t="s">
        <v>69</v>
      </c>
      <c r="F18" t="s">
        <v>629</v>
      </c>
      <c r="G18" t="s">
        <v>4</v>
      </c>
      <c r="T18" t="s">
        <v>52</v>
      </c>
      <c r="U18">
        <f t="shared" si="0"/>
        <v>1</v>
      </c>
      <c r="V18" t="s">
        <v>12</v>
      </c>
      <c r="W18">
        <v>-9999</v>
      </c>
    </row>
    <row r="19" spans="1:23">
      <c r="A19">
        <v>2010</v>
      </c>
      <c r="B19">
        <v>1</v>
      </c>
      <c r="C19">
        <v>18</v>
      </c>
      <c r="D19">
        <v>18</v>
      </c>
      <c r="E19" t="s">
        <v>630</v>
      </c>
      <c r="F19" t="s">
        <v>631</v>
      </c>
      <c r="G19" t="s">
        <v>8</v>
      </c>
      <c r="H19">
        <v>-1.3</v>
      </c>
      <c r="T19" t="s">
        <v>52</v>
      </c>
      <c r="U19">
        <f t="shared" si="0"/>
        <v>1</v>
      </c>
      <c r="V19" t="str">
        <f t="shared" si="1"/>
        <v>MLB</v>
      </c>
      <c r="W19" t="s">
        <v>1454</v>
      </c>
    </row>
    <row r="20" spans="1:23">
      <c r="A20">
        <v>2010</v>
      </c>
      <c r="B20">
        <v>1</v>
      </c>
      <c r="C20">
        <v>19</v>
      </c>
      <c r="D20">
        <v>19</v>
      </c>
      <c r="E20" t="s">
        <v>632</v>
      </c>
      <c r="F20" t="s">
        <v>633</v>
      </c>
      <c r="G20" t="s">
        <v>8</v>
      </c>
      <c r="H20">
        <v>4.4000000000000004</v>
      </c>
      <c r="N20">
        <v>166</v>
      </c>
      <c r="O20">
        <v>46</v>
      </c>
      <c r="P20">
        <v>54</v>
      </c>
      <c r="Q20">
        <v>4.5199999999999996</v>
      </c>
      <c r="R20">
        <v>1.32</v>
      </c>
      <c r="S20">
        <v>0</v>
      </c>
      <c r="T20" t="s">
        <v>52</v>
      </c>
      <c r="U20">
        <f t="shared" si="0"/>
        <v>1</v>
      </c>
      <c r="V20" t="str">
        <f t="shared" si="1"/>
        <v>MLB</v>
      </c>
      <c r="W20" t="s">
        <v>1455</v>
      </c>
    </row>
    <row r="21" spans="1:23">
      <c r="A21">
        <v>2010</v>
      </c>
      <c r="B21">
        <v>1</v>
      </c>
      <c r="C21">
        <v>20</v>
      </c>
      <c r="D21">
        <v>20</v>
      </c>
      <c r="E21" t="s">
        <v>634</v>
      </c>
      <c r="F21" t="s">
        <v>635</v>
      </c>
      <c r="G21" t="s">
        <v>0</v>
      </c>
      <c r="T21" t="s">
        <v>34</v>
      </c>
      <c r="U21">
        <f t="shared" si="0"/>
        <v>0</v>
      </c>
      <c r="V21" t="s">
        <v>12</v>
      </c>
      <c r="W21">
        <v>-9999</v>
      </c>
    </row>
    <row r="22" spans="1:23">
      <c r="A22">
        <v>2010</v>
      </c>
      <c r="B22">
        <v>1</v>
      </c>
      <c r="C22">
        <v>21</v>
      </c>
      <c r="D22">
        <v>21</v>
      </c>
      <c r="E22" t="s">
        <v>75</v>
      </c>
      <c r="F22" t="s">
        <v>636</v>
      </c>
      <c r="G22" t="s">
        <v>8</v>
      </c>
      <c r="H22">
        <v>0.2</v>
      </c>
      <c r="N22">
        <v>22</v>
      </c>
      <c r="O22">
        <v>1</v>
      </c>
      <c r="P22">
        <v>3</v>
      </c>
      <c r="Q22">
        <v>4.38</v>
      </c>
      <c r="R22">
        <v>1.66</v>
      </c>
      <c r="S22">
        <v>0</v>
      </c>
      <c r="T22" t="s">
        <v>34</v>
      </c>
      <c r="U22">
        <f t="shared" si="0"/>
        <v>0</v>
      </c>
      <c r="V22" t="str">
        <f t="shared" si="1"/>
        <v>MLB</v>
      </c>
      <c r="W22" t="s">
        <v>1456</v>
      </c>
    </row>
    <row r="23" spans="1:23">
      <c r="A23">
        <v>2010</v>
      </c>
      <c r="B23">
        <v>1</v>
      </c>
      <c r="C23">
        <v>22</v>
      </c>
      <c r="D23">
        <v>22</v>
      </c>
      <c r="E23" t="s">
        <v>93</v>
      </c>
      <c r="F23" t="s">
        <v>637</v>
      </c>
      <c r="G23" t="s">
        <v>6</v>
      </c>
      <c r="T23" t="s">
        <v>52</v>
      </c>
      <c r="U23">
        <f t="shared" si="0"/>
        <v>1</v>
      </c>
      <c r="V23" t="s">
        <v>12</v>
      </c>
      <c r="W23">
        <v>-9999</v>
      </c>
    </row>
    <row r="24" spans="1:23">
      <c r="A24">
        <v>2010</v>
      </c>
      <c r="B24">
        <v>1</v>
      </c>
      <c r="C24">
        <v>23</v>
      </c>
      <c r="D24">
        <v>23</v>
      </c>
      <c r="E24" t="s">
        <v>65</v>
      </c>
      <c r="F24" t="s">
        <v>638</v>
      </c>
      <c r="G24" t="s">
        <v>3</v>
      </c>
      <c r="H24">
        <v>45.4</v>
      </c>
      <c r="I24">
        <v>1632</v>
      </c>
      <c r="J24">
        <v>6163</v>
      </c>
      <c r="K24">
        <v>234</v>
      </c>
      <c r="L24">
        <v>0.28499999999999998</v>
      </c>
      <c r="M24">
        <v>0.83799999999999997</v>
      </c>
      <c r="T24" t="s">
        <v>52</v>
      </c>
      <c r="U24">
        <f t="shared" si="0"/>
        <v>1</v>
      </c>
      <c r="V24" t="str">
        <f t="shared" si="1"/>
        <v>MLB</v>
      </c>
      <c r="W24" t="s">
        <v>1457</v>
      </c>
    </row>
    <row r="25" spans="1:23">
      <c r="A25">
        <v>2010</v>
      </c>
      <c r="B25">
        <v>1</v>
      </c>
      <c r="C25">
        <v>24</v>
      </c>
      <c r="D25">
        <v>24</v>
      </c>
      <c r="E25" t="s">
        <v>59</v>
      </c>
      <c r="F25" t="s">
        <v>639</v>
      </c>
      <c r="G25" t="s">
        <v>237</v>
      </c>
      <c r="H25">
        <v>0.1</v>
      </c>
      <c r="I25">
        <v>7</v>
      </c>
      <c r="J25">
        <v>7</v>
      </c>
      <c r="K25">
        <v>0</v>
      </c>
      <c r="L25">
        <v>0.42899999999999999</v>
      </c>
      <c r="M25">
        <v>0.85699999999999998</v>
      </c>
      <c r="T25" t="s">
        <v>34</v>
      </c>
      <c r="U25">
        <f t="shared" si="0"/>
        <v>0</v>
      </c>
      <c r="V25" t="str">
        <f t="shared" si="1"/>
        <v>MLB</v>
      </c>
      <c r="W25" t="s">
        <v>1458</v>
      </c>
    </row>
    <row r="26" spans="1:23">
      <c r="A26">
        <v>2010</v>
      </c>
      <c r="B26">
        <v>1</v>
      </c>
      <c r="C26">
        <v>25</v>
      </c>
      <c r="D26">
        <v>25</v>
      </c>
      <c r="E26" t="s">
        <v>46</v>
      </c>
      <c r="F26" t="s">
        <v>640</v>
      </c>
      <c r="G26" t="s">
        <v>11</v>
      </c>
      <c r="T26" t="s">
        <v>34</v>
      </c>
      <c r="U26">
        <f t="shared" si="0"/>
        <v>0</v>
      </c>
      <c r="V26" t="s">
        <v>12</v>
      </c>
      <c r="W26">
        <v>-9999</v>
      </c>
    </row>
    <row r="27" spans="1:23">
      <c r="A27">
        <v>2010</v>
      </c>
      <c r="B27">
        <v>1</v>
      </c>
      <c r="C27">
        <v>26</v>
      </c>
      <c r="D27">
        <v>26</v>
      </c>
      <c r="E27" t="s">
        <v>37</v>
      </c>
      <c r="F27" t="s">
        <v>641</v>
      </c>
      <c r="G27" t="s">
        <v>4</v>
      </c>
      <c r="H27">
        <v>-1.7</v>
      </c>
      <c r="I27">
        <v>64</v>
      </c>
      <c r="J27">
        <v>132</v>
      </c>
      <c r="K27">
        <v>3</v>
      </c>
      <c r="L27">
        <v>0.182</v>
      </c>
      <c r="M27">
        <v>0.51300000000000001</v>
      </c>
      <c r="T27" t="s">
        <v>34</v>
      </c>
      <c r="U27">
        <f t="shared" si="0"/>
        <v>0</v>
      </c>
      <c r="V27" t="str">
        <f t="shared" si="1"/>
        <v>MLB</v>
      </c>
      <c r="W27" t="s">
        <v>1459</v>
      </c>
    </row>
    <row r="28" spans="1:23">
      <c r="A28">
        <v>2010</v>
      </c>
      <c r="B28">
        <v>1</v>
      </c>
      <c r="C28">
        <v>27</v>
      </c>
      <c r="D28">
        <v>27</v>
      </c>
      <c r="E28" t="s">
        <v>87</v>
      </c>
      <c r="F28" t="s">
        <v>642</v>
      </c>
      <c r="G28" t="s">
        <v>9</v>
      </c>
      <c r="H28">
        <v>-0.6</v>
      </c>
      <c r="N28">
        <v>99</v>
      </c>
      <c r="O28">
        <v>6</v>
      </c>
      <c r="P28">
        <v>2</v>
      </c>
      <c r="Q28">
        <v>5.07</v>
      </c>
      <c r="R28">
        <v>1.6</v>
      </c>
      <c r="S28">
        <v>1</v>
      </c>
      <c r="T28" t="s">
        <v>52</v>
      </c>
      <c r="U28">
        <f t="shared" si="0"/>
        <v>1</v>
      </c>
      <c r="V28" t="str">
        <f t="shared" si="1"/>
        <v>MLB</v>
      </c>
      <c r="W28" t="s">
        <v>1460</v>
      </c>
    </row>
    <row r="29" spans="1:23">
      <c r="A29">
        <v>2010</v>
      </c>
      <c r="B29">
        <v>1</v>
      </c>
      <c r="C29">
        <v>28</v>
      </c>
      <c r="D29">
        <v>28</v>
      </c>
      <c r="E29" t="s">
        <v>79</v>
      </c>
      <c r="F29" t="s">
        <v>643</v>
      </c>
      <c r="G29" t="s">
        <v>8</v>
      </c>
      <c r="H29">
        <v>-0.3</v>
      </c>
      <c r="N29">
        <v>4</v>
      </c>
      <c r="O29">
        <v>1</v>
      </c>
      <c r="P29">
        <v>1</v>
      </c>
      <c r="Q29">
        <v>8.5299999999999994</v>
      </c>
      <c r="R29">
        <v>2.21</v>
      </c>
      <c r="S29">
        <v>0</v>
      </c>
      <c r="T29" t="s">
        <v>52</v>
      </c>
      <c r="U29">
        <f t="shared" si="0"/>
        <v>1</v>
      </c>
      <c r="V29" t="str">
        <f t="shared" si="1"/>
        <v>MLB</v>
      </c>
      <c r="W29" t="s">
        <v>1461</v>
      </c>
    </row>
    <row r="30" spans="1:23">
      <c r="A30">
        <v>2010</v>
      </c>
      <c r="B30">
        <v>1</v>
      </c>
      <c r="C30">
        <v>29</v>
      </c>
      <c r="D30">
        <v>29</v>
      </c>
      <c r="E30" t="s">
        <v>644</v>
      </c>
      <c r="F30" t="s">
        <v>645</v>
      </c>
      <c r="G30" t="s">
        <v>8</v>
      </c>
      <c r="H30">
        <v>1.7</v>
      </c>
      <c r="N30">
        <v>311</v>
      </c>
      <c r="O30">
        <v>17</v>
      </c>
      <c r="P30">
        <v>13</v>
      </c>
      <c r="Q30">
        <v>3.81</v>
      </c>
      <c r="R30">
        <v>1.37</v>
      </c>
      <c r="S30">
        <v>9</v>
      </c>
      <c r="T30" t="s">
        <v>52</v>
      </c>
      <c r="U30">
        <f t="shared" si="0"/>
        <v>1</v>
      </c>
      <c r="V30" t="str">
        <f t="shared" si="1"/>
        <v>MLB</v>
      </c>
      <c r="W30" t="s">
        <v>1462</v>
      </c>
    </row>
    <row r="31" spans="1:23">
      <c r="A31">
        <v>2010</v>
      </c>
      <c r="B31">
        <v>1</v>
      </c>
      <c r="C31">
        <v>30</v>
      </c>
      <c r="D31">
        <v>30</v>
      </c>
      <c r="E31" t="s">
        <v>48</v>
      </c>
      <c r="F31" t="s">
        <v>646</v>
      </c>
      <c r="G31" t="s">
        <v>237</v>
      </c>
      <c r="T31" t="s">
        <v>52</v>
      </c>
      <c r="U31">
        <f t="shared" si="0"/>
        <v>1</v>
      </c>
      <c r="V31" t="s">
        <v>14</v>
      </c>
      <c r="W31">
        <v>-9999</v>
      </c>
    </row>
    <row r="32" spans="1:23">
      <c r="A32">
        <v>2010</v>
      </c>
      <c r="B32" t="s">
        <v>537</v>
      </c>
      <c r="C32">
        <v>31</v>
      </c>
      <c r="D32">
        <v>31</v>
      </c>
      <c r="E32" t="s">
        <v>69</v>
      </c>
      <c r="F32" t="s">
        <v>647</v>
      </c>
      <c r="G32" t="s">
        <v>6</v>
      </c>
      <c r="T32" t="s">
        <v>52</v>
      </c>
      <c r="U32">
        <f t="shared" si="0"/>
        <v>1</v>
      </c>
      <c r="V32" t="s">
        <v>12</v>
      </c>
      <c r="W32">
        <v>-9999</v>
      </c>
    </row>
    <row r="33" spans="1:23">
      <c r="A33">
        <v>2010</v>
      </c>
      <c r="B33">
        <v>1</v>
      </c>
      <c r="C33">
        <v>32</v>
      </c>
      <c r="D33">
        <v>32</v>
      </c>
      <c r="E33" t="s">
        <v>85</v>
      </c>
      <c r="F33" t="s">
        <v>648</v>
      </c>
      <c r="G33" t="s">
        <v>8</v>
      </c>
      <c r="T33" t="s">
        <v>52</v>
      </c>
      <c r="U33">
        <f t="shared" si="0"/>
        <v>1</v>
      </c>
      <c r="V33" t="s">
        <v>12</v>
      </c>
      <c r="W33">
        <v>-9999</v>
      </c>
    </row>
    <row r="34" spans="1:23">
      <c r="A34">
        <v>2010</v>
      </c>
      <c r="B34" t="s">
        <v>537</v>
      </c>
      <c r="C34">
        <v>33</v>
      </c>
      <c r="D34">
        <v>33</v>
      </c>
      <c r="E34" t="s">
        <v>89</v>
      </c>
      <c r="F34" t="s">
        <v>649</v>
      </c>
      <c r="G34" t="s">
        <v>6</v>
      </c>
      <c r="T34" t="s">
        <v>34</v>
      </c>
      <c r="U34">
        <f t="shared" si="0"/>
        <v>0</v>
      </c>
      <c r="V34" t="s">
        <v>13</v>
      </c>
      <c r="W34">
        <v>-9999</v>
      </c>
    </row>
    <row r="35" spans="1:23">
      <c r="A35">
        <v>2010</v>
      </c>
      <c r="B35" t="s">
        <v>537</v>
      </c>
      <c r="C35">
        <v>34</v>
      </c>
      <c r="D35">
        <v>34</v>
      </c>
      <c r="E35" t="s">
        <v>73</v>
      </c>
      <c r="F35" t="s">
        <v>650</v>
      </c>
      <c r="G35" t="s">
        <v>8</v>
      </c>
      <c r="H35">
        <v>8.1</v>
      </c>
      <c r="N35">
        <v>174</v>
      </c>
      <c r="O35">
        <v>38</v>
      </c>
      <c r="P35">
        <v>38</v>
      </c>
      <c r="Q35">
        <v>4.16</v>
      </c>
      <c r="R35">
        <v>1.38</v>
      </c>
      <c r="S35">
        <v>3</v>
      </c>
      <c r="T35" t="s">
        <v>52</v>
      </c>
      <c r="U35">
        <f t="shared" si="0"/>
        <v>1</v>
      </c>
      <c r="V35" t="str">
        <f t="shared" si="1"/>
        <v>MLB</v>
      </c>
      <c r="W35" t="s">
        <v>1463</v>
      </c>
    </row>
    <row r="36" spans="1:23">
      <c r="A36">
        <v>2010</v>
      </c>
      <c r="B36" t="s">
        <v>537</v>
      </c>
      <c r="C36">
        <v>35</v>
      </c>
      <c r="D36">
        <v>35</v>
      </c>
      <c r="E36" t="s">
        <v>81</v>
      </c>
      <c r="F36" t="s">
        <v>651</v>
      </c>
      <c r="G36" t="s">
        <v>5</v>
      </c>
      <c r="T36" t="s">
        <v>52</v>
      </c>
      <c r="U36">
        <f t="shared" si="0"/>
        <v>1</v>
      </c>
      <c r="V36" t="s">
        <v>12</v>
      </c>
      <c r="W36">
        <v>-9999</v>
      </c>
    </row>
    <row r="37" spans="1:23">
      <c r="A37">
        <v>2010</v>
      </c>
      <c r="B37" t="s">
        <v>537</v>
      </c>
      <c r="C37">
        <v>36</v>
      </c>
      <c r="D37">
        <v>36</v>
      </c>
      <c r="E37" t="s">
        <v>57</v>
      </c>
      <c r="F37" t="s">
        <v>652</v>
      </c>
      <c r="G37" t="s">
        <v>653</v>
      </c>
      <c r="H37">
        <v>0</v>
      </c>
      <c r="I37">
        <v>34</v>
      </c>
      <c r="J37">
        <v>87</v>
      </c>
      <c r="K37">
        <v>1</v>
      </c>
      <c r="L37">
        <v>0.28699999999999998</v>
      </c>
      <c r="M37">
        <v>0.69</v>
      </c>
      <c r="T37" t="s">
        <v>34</v>
      </c>
      <c r="U37">
        <f t="shared" si="0"/>
        <v>0</v>
      </c>
      <c r="V37" t="str">
        <f t="shared" si="1"/>
        <v>MLB</v>
      </c>
      <c r="W37" t="s">
        <v>1464</v>
      </c>
    </row>
    <row r="38" spans="1:23">
      <c r="A38">
        <v>2010</v>
      </c>
      <c r="B38" t="s">
        <v>537</v>
      </c>
      <c r="C38">
        <v>37</v>
      </c>
      <c r="D38">
        <v>37</v>
      </c>
      <c r="E38" t="s">
        <v>48</v>
      </c>
      <c r="F38" t="s">
        <v>654</v>
      </c>
      <c r="G38" t="s">
        <v>5</v>
      </c>
      <c r="T38" t="s">
        <v>52</v>
      </c>
      <c r="U38">
        <f t="shared" si="0"/>
        <v>1</v>
      </c>
      <c r="V38" t="s">
        <v>12</v>
      </c>
      <c r="W38">
        <v>-9999</v>
      </c>
    </row>
    <row r="39" spans="1:23">
      <c r="A39">
        <v>2010</v>
      </c>
      <c r="B39" t="s">
        <v>537</v>
      </c>
      <c r="C39">
        <v>38</v>
      </c>
      <c r="D39">
        <v>38</v>
      </c>
      <c r="E39" t="s">
        <v>73</v>
      </c>
      <c r="F39" t="s">
        <v>655</v>
      </c>
      <c r="G39" t="s">
        <v>8</v>
      </c>
      <c r="H39">
        <v>15.7</v>
      </c>
      <c r="N39">
        <v>164</v>
      </c>
      <c r="O39">
        <v>59</v>
      </c>
      <c r="P39">
        <v>47</v>
      </c>
      <c r="Q39">
        <v>3.71</v>
      </c>
      <c r="R39">
        <v>1.2</v>
      </c>
      <c r="S39">
        <v>0</v>
      </c>
      <c r="T39" t="s">
        <v>52</v>
      </c>
      <c r="U39">
        <f t="shared" si="0"/>
        <v>1</v>
      </c>
      <c r="V39" t="str">
        <f t="shared" si="1"/>
        <v>MLB</v>
      </c>
      <c r="W39" t="s">
        <v>1465</v>
      </c>
    </row>
    <row r="40" spans="1:23">
      <c r="A40">
        <v>2010</v>
      </c>
      <c r="B40" t="s">
        <v>537</v>
      </c>
      <c r="C40">
        <v>39</v>
      </c>
      <c r="D40">
        <v>39</v>
      </c>
      <c r="E40" t="s">
        <v>57</v>
      </c>
      <c r="F40" t="s">
        <v>656</v>
      </c>
      <c r="G40" t="s">
        <v>8</v>
      </c>
      <c r="H40">
        <v>-1.6</v>
      </c>
      <c r="N40">
        <v>20</v>
      </c>
      <c r="O40">
        <v>5</v>
      </c>
      <c r="P40">
        <v>5</v>
      </c>
      <c r="Q40">
        <v>7.01</v>
      </c>
      <c r="R40">
        <v>1.59</v>
      </c>
      <c r="S40">
        <v>0</v>
      </c>
      <c r="T40" t="s">
        <v>34</v>
      </c>
      <c r="U40">
        <f t="shared" si="0"/>
        <v>0</v>
      </c>
      <c r="V40" t="str">
        <f t="shared" si="1"/>
        <v>MLB</v>
      </c>
      <c r="W40" t="s">
        <v>1466</v>
      </c>
    </row>
    <row r="41" spans="1:23">
      <c r="A41">
        <v>2010</v>
      </c>
      <c r="B41" t="s">
        <v>537</v>
      </c>
      <c r="C41">
        <v>40</v>
      </c>
      <c r="D41">
        <v>40</v>
      </c>
      <c r="E41" t="s">
        <v>48</v>
      </c>
      <c r="F41" t="s">
        <v>657</v>
      </c>
      <c r="G41" t="s">
        <v>237</v>
      </c>
      <c r="T41" t="s">
        <v>52</v>
      </c>
      <c r="U41">
        <f t="shared" si="0"/>
        <v>1</v>
      </c>
      <c r="V41" t="s">
        <v>1115</v>
      </c>
      <c r="W41">
        <v>-9999</v>
      </c>
    </row>
    <row r="42" spans="1:23">
      <c r="A42">
        <v>2010</v>
      </c>
      <c r="B42" t="s">
        <v>537</v>
      </c>
      <c r="C42">
        <v>41</v>
      </c>
      <c r="D42">
        <v>41</v>
      </c>
      <c r="E42" t="s">
        <v>73</v>
      </c>
      <c r="F42" t="s">
        <v>658</v>
      </c>
      <c r="G42" t="s">
        <v>8</v>
      </c>
      <c r="H42">
        <v>-0.4</v>
      </c>
      <c r="N42">
        <v>58</v>
      </c>
      <c r="O42">
        <v>9</v>
      </c>
      <c r="P42">
        <v>15</v>
      </c>
      <c r="Q42">
        <v>5.93</v>
      </c>
      <c r="R42">
        <v>1.46</v>
      </c>
      <c r="S42">
        <v>0</v>
      </c>
      <c r="T42" t="s">
        <v>34</v>
      </c>
      <c r="U42">
        <f t="shared" si="0"/>
        <v>0</v>
      </c>
      <c r="V42" t="str">
        <f t="shared" si="1"/>
        <v>MLB</v>
      </c>
      <c r="W42" t="s">
        <v>1467</v>
      </c>
    </row>
    <row r="43" spans="1:23">
      <c r="A43">
        <v>2010</v>
      </c>
      <c r="B43" t="s">
        <v>537</v>
      </c>
      <c r="C43">
        <v>42</v>
      </c>
      <c r="D43">
        <v>42</v>
      </c>
      <c r="E43" t="s">
        <v>69</v>
      </c>
      <c r="F43" t="s">
        <v>659</v>
      </c>
      <c r="G43" t="s">
        <v>4</v>
      </c>
      <c r="T43" t="s">
        <v>52</v>
      </c>
      <c r="U43">
        <f t="shared" si="0"/>
        <v>1</v>
      </c>
      <c r="V43" t="s">
        <v>13</v>
      </c>
      <c r="W43">
        <v>-9999</v>
      </c>
    </row>
    <row r="44" spans="1:23">
      <c r="A44">
        <v>2010</v>
      </c>
      <c r="B44" t="s">
        <v>537</v>
      </c>
      <c r="C44">
        <v>43</v>
      </c>
      <c r="D44">
        <v>43</v>
      </c>
      <c r="E44" t="s">
        <v>63</v>
      </c>
      <c r="F44" t="s">
        <v>660</v>
      </c>
      <c r="G44" t="s">
        <v>8</v>
      </c>
      <c r="H44">
        <v>12.2</v>
      </c>
      <c r="N44">
        <v>256</v>
      </c>
      <c r="O44">
        <v>78</v>
      </c>
      <c r="P44">
        <v>75</v>
      </c>
      <c r="Q44">
        <v>4.2699999999999996</v>
      </c>
      <c r="R44">
        <v>1.3</v>
      </c>
      <c r="S44">
        <v>1</v>
      </c>
      <c r="T44" t="s">
        <v>52</v>
      </c>
      <c r="U44">
        <f t="shared" si="0"/>
        <v>1</v>
      </c>
      <c r="V44" t="str">
        <f t="shared" si="1"/>
        <v>MLB</v>
      </c>
      <c r="W44" t="s">
        <v>1468</v>
      </c>
    </row>
    <row r="45" spans="1:23">
      <c r="A45">
        <v>2010</v>
      </c>
      <c r="B45" t="s">
        <v>537</v>
      </c>
      <c r="C45">
        <v>44</v>
      </c>
      <c r="D45">
        <v>44</v>
      </c>
      <c r="E45" t="s">
        <v>55</v>
      </c>
      <c r="F45" t="s">
        <v>661</v>
      </c>
      <c r="G45" t="s">
        <v>11</v>
      </c>
      <c r="H45">
        <v>12</v>
      </c>
      <c r="I45">
        <v>1715</v>
      </c>
      <c r="J45">
        <v>6493</v>
      </c>
      <c r="K45">
        <v>252</v>
      </c>
      <c r="L45">
        <v>0.27100000000000002</v>
      </c>
      <c r="M45">
        <v>0.78200000000000003</v>
      </c>
      <c r="T45" t="s">
        <v>52</v>
      </c>
      <c r="U45">
        <f t="shared" si="0"/>
        <v>1</v>
      </c>
      <c r="V45" t="str">
        <f t="shared" si="1"/>
        <v>MLB</v>
      </c>
      <c r="W45" t="s">
        <v>1469</v>
      </c>
    </row>
    <row r="46" spans="1:23">
      <c r="A46">
        <v>2010</v>
      </c>
      <c r="B46" t="s">
        <v>537</v>
      </c>
      <c r="C46">
        <v>45</v>
      </c>
      <c r="D46">
        <v>45</v>
      </c>
      <c r="E46" t="s">
        <v>93</v>
      </c>
      <c r="F46" t="s">
        <v>662</v>
      </c>
      <c r="G46" t="s">
        <v>8</v>
      </c>
      <c r="H46">
        <v>1.9</v>
      </c>
      <c r="N46">
        <v>390</v>
      </c>
      <c r="O46">
        <v>24</v>
      </c>
      <c r="P46">
        <v>16</v>
      </c>
      <c r="Q46">
        <v>4.22</v>
      </c>
      <c r="R46">
        <v>1.44</v>
      </c>
      <c r="S46">
        <v>28</v>
      </c>
      <c r="T46" t="s">
        <v>52</v>
      </c>
      <c r="U46">
        <f t="shared" si="0"/>
        <v>1</v>
      </c>
      <c r="V46" t="str">
        <f t="shared" si="1"/>
        <v>MLB</v>
      </c>
      <c r="W46" t="s">
        <v>1470</v>
      </c>
    </row>
    <row r="47" spans="1:23">
      <c r="A47">
        <v>2010</v>
      </c>
      <c r="B47" t="s">
        <v>537</v>
      </c>
      <c r="C47">
        <v>46</v>
      </c>
      <c r="D47">
        <v>46</v>
      </c>
      <c r="E47" t="s">
        <v>46</v>
      </c>
      <c r="F47" t="s">
        <v>663</v>
      </c>
      <c r="G47" t="s">
        <v>8</v>
      </c>
      <c r="T47" t="s">
        <v>34</v>
      </c>
      <c r="U47">
        <f t="shared" si="0"/>
        <v>0</v>
      </c>
      <c r="V47" t="s">
        <v>12</v>
      </c>
      <c r="W47">
        <v>-9999</v>
      </c>
    </row>
    <row r="48" spans="1:23">
      <c r="A48">
        <v>2010</v>
      </c>
      <c r="B48" t="s">
        <v>537</v>
      </c>
      <c r="C48">
        <v>47</v>
      </c>
      <c r="D48">
        <v>47</v>
      </c>
      <c r="E48" t="s">
        <v>37</v>
      </c>
      <c r="F48" t="s">
        <v>664</v>
      </c>
      <c r="G48" t="s">
        <v>8</v>
      </c>
      <c r="T48" t="s">
        <v>52</v>
      </c>
      <c r="U48">
        <f t="shared" si="0"/>
        <v>1</v>
      </c>
      <c r="V48" t="s">
        <v>12</v>
      </c>
      <c r="W48">
        <v>-9999</v>
      </c>
    </row>
    <row r="49" spans="1:23">
      <c r="A49">
        <v>2010</v>
      </c>
      <c r="B49" t="s">
        <v>537</v>
      </c>
      <c r="C49">
        <v>48</v>
      </c>
      <c r="D49">
        <v>48</v>
      </c>
      <c r="E49" t="s">
        <v>55</v>
      </c>
      <c r="F49" t="s">
        <v>665</v>
      </c>
      <c r="G49" t="s">
        <v>8</v>
      </c>
      <c r="H49">
        <v>-0.5</v>
      </c>
      <c r="N49">
        <v>24</v>
      </c>
      <c r="O49">
        <v>1</v>
      </c>
      <c r="P49">
        <v>2</v>
      </c>
      <c r="Q49">
        <v>5.6</v>
      </c>
      <c r="R49">
        <v>1.68</v>
      </c>
      <c r="S49">
        <v>0</v>
      </c>
      <c r="T49" t="s">
        <v>34</v>
      </c>
      <c r="U49">
        <f t="shared" si="0"/>
        <v>0</v>
      </c>
      <c r="V49" t="str">
        <f t="shared" si="1"/>
        <v>MLB</v>
      </c>
      <c r="W49" t="s">
        <v>1471</v>
      </c>
    </row>
    <row r="50" spans="1:23">
      <c r="A50">
        <v>2010</v>
      </c>
      <c r="B50" t="s">
        <v>537</v>
      </c>
      <c r="C50">
        <v>49</v>
      </c>
      <c r="D50">
        <v>49</v>
      </c>
      <c r="E50" t="s">
        <v>93</v>
      </c>
      <c r="F50" t="s">
        <v>666</v>
      </c>
      <c r="G50" t="s">
        <v>11</v>
      </c>
      <c r="H50">
        <v>-1.5</v>
      </c>
      <c r="I50">
        <v>135</v>
      </c>
      <c r="J50">
        <v>352</v>
      </c>
      <c r="K50">
        <v>16</v>
      </c>
      <c r="L50">
        <v>0.16800000000000001</v>
      </c>
      <c r="M50">
        <v>0.57999999999999996</v>
      </c>
      <c r="T50" t="s">
        <v>34</v>
      </c>
      <c r="U50">
        <f t="shared" si="0"/>
        <v>0</v>
      </c>
      <c r="V50" t="str">
        <f t="shared" si="1"/>
        <v>MLB</v>
      </c>
      <c r="W50" t="s">
        <v>1472</v>
      </c>
    </row>
    <row r="51" spans="1:23">
      <c r="A51">
        <v>2010</v>
      </c>
      <c r="B51" t="s">
        <v>537</v>
      </c>
      <c r="C51">
        <v>50</v>
      </c>
      <c r="D51">
        <v>50</v>
      </c>
      <c r="E51" t="s">
        <v>46</v>
      </c>
      <c r="F51" t="s">
        <v>667</v>
      </c>
      <c r="G51" t="s">
        <v>8</v>
      </c>
      <c r="H51">
        <v>-0.4</v>
      </c>
      <c r="N51">
        <v>14</v>
      </c>
      <c r="O51">
        <v>2</v>
      </c>
      <c r="P51">
        <v>4</v>
      </c>
      <c r="Q51">
        <v>5.88</v>
      </c>
      <c r="R51">
        <v>1.69</v>
      </c>
      <c r="S51">
        <v>0</v>
      </c>
      <c r="T51" t="s">
        <v>52</v>
      </c>
      <c r="U51">
        <f t="shared" si="0"/>
        <v>1</v>
      </c>
      <c r="V51" t="str">
        <f t="shared" si="1"/>
        <v>MLB</v>
      </c>
      <c r="W51" t="s">
        <v>1473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96B1-2ADB-43D8-8360-2D4220688500}">
  <dimension ref="A1:W61"/>
  <sheetViews>
    <sheetView workbookViewId="0">
      <selection activeCell="X1" sqref="X1"/>
    </sheetView>
  </sheetViews>
  <sheetFormatPr defaultRowHeight="14.5"/>
  <cols>
    <col min="1" max="1" width="4.81640625" bestFit="1" customWidth="1"/>
    <col min="2" max="2" width="3.90625" bestFit="1" customWidth="1"/>
    <col min="3" max="3" width="6" bestFit="1" customWidth="1"/>
    <col min="4" max="4" width="5.90625" bestFit="1" customWidth="1"/>
    <col min="5" max="5" width="19.6328125" bestFit="1" customWidth="1"/>
    <col min="6" max="6" width="23.81640625" bestFit="1" customWidth="1"/>
    <col min="7" max="7" width="4.26953125" bestFit="1" customWidth="1"/>
    <col min="8" max="10" width="4.81640625" bestFit="1" customWidth="1"/>
    <col min="11" max="11" width="3.81640625" bestFit="1" customWidth="1"/>
    <col min="12" max="13" width="5.81640625" bestFit="1" customWidth="1"/>
    <col min="14" max="16" width="3.81640625" bestFit="1" customWidth="1"/>
    <col min="17" max="17" width="4.81640625" bestFit="1" customWidth="1"/>
    <col min="18" max="18" width="5.26953125" bestFit="1" customWidth="1"/>
    <col min="19" max="19" width="2.90625" bestFit="1" customWidth="1"/>
    <col min="20" max="20" width="4.54296875" bestFit="1" customWidth="1"/>
    <col min="21" max="21" width="4" bestFit="1" customWidth="1"/>
  </cols>
  <sheetData>
    <row r="1" spans="1:23">
      <c r="A1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>
        <v>2011</v>
      </c>
      <c r="B2">
        <v>1</v>
      </c>
      <c r="C2">
        <v>1</v>
      </c>
      <c r="D2">
        <v>1</v>
      </c>
      <c r="E2" t="s">
        <v>50</v>
      </c>
      <c r="F2" t="s">
        <v>558</v>
      </c>
      <c r="G2" t="s">
        <v>8</v>
      </c>
      <c r="H2">
        <v>43.1</v>
      </c>
      <c r="N2">
        <v>317</v>
      </c>
      <c r="O2">
        <v>153</v>
      </c>
      <c r="P2">
        <v>80</v>
      </c>
      <c r="Q2">
        <v>3.18</v>
      </c>
      <c r="R2">
        <v>1.0900000000000001</v>
      </c>
      <c r="S2">
        <v>0</v>
      </c>
      <c r="T2" t="s">
        <v>34</v>
      </c>
      <c r="U2">
        <f>IF(ISNUMBER(SEARCH("HS",T2)),1,0)</f>
        <v>0</v>
      </c>
      <c r="V2" t="str">
        <f>IF(ISNUMBER(H2),"MLB","")</f>
        <v>MLB</v>
      </c>
      <c r="W2" t="s">
        <v>1394</v>
      </c>
    </row>
    <row r="3" spans="1:23">
      <c r="A3">
        <v>2011</v>
      </c>
      <c r="B3">
        <v>1</v>
      </c>
      <c r="C3">
        <v>2</v>
      </c>
      <c r="D3">
        <v>2</v>
      </c>
      <c r="E3" t="s">
        <v>63</v>
      </c>
      <c r="F3" t="s">
        <v>559</v>
      </c>
      <c r="G3" t="s">
        <v>9</v>
      </c>
      <c r="H3">
        <v>0.2</v>
      </c>
      <c r="N3">
        <v>6</v>
      </c>
      <c r="O3">
        <v>0</v>
      </c>
      <c r="P3">
        <v>0</v>
      </c>
      <c r="Q3">
        <v>0</v>
      </c>
      <c r="R3">
        <v>1.8</v>
      </c>
      <c r="S3">
        <v>0</v>
      </c>
      <c r="T3" t="s">
        <v>34</v>
      </c>
      <c r="U3">
        <f t="shared" ref="U3:U51" si="0">IF(ISNUMBER(SEARCH("HS",T3)),1,0)</f>
        <v>0</v>
      </c>
      <c r="V3" t="str">
        <f t="shared" ref="V3:V50" si="1">IF(ISNUMBER(H3),"MLB","")</f>
        <v>MLB</v>
      </c>
      <c r="W3" t="s">
        <v>1474</v>
      </c>
    </row>
    <row r="4" spans="1:23">
      <c r="A4">
        <v>2011</v>
      </c>
      <c r="B4">
        <v>1</v>
      </c>
      <c r="C4">
        <v>3</v>
      </c>
      <c r="D4">
        <v>3</v>
      </c>
      <c r="E4" t="s">
        <v>91</v>
      </c>
      <c r="F4" t="s">
        <v>560</v>
      </c>
      <c r="G4" t="s">
        <v>8</v>
      </c>
      <c r="H4">
        <v>21.1</v>
      </c>
      <c r="N4">
        <v>222</v>
      </c>
      <c r="O4">
        <v>83</v>
      </c>
      <c r="P4">
        <v>69</v>
      </c>
      <c r="Q4">
        <v>3.79</v>
      </c>
      <c r="R4">
        <v>1.24</v>
      </c>
      <c r="S4">
        <v>1</v>
      </c>
      <c r="T4" t="s">
        <v>34</v>
      </c>
      <c r="U4">
        <f t="shared" si="0"/>
        <v>0</v>
      </c>
      <c r="V4" t="str">
        <f t="shared" si="1"/>
        <v>MLB</v>
      </c>
      <c r="W4" t="s">
        <v>1475</v>
      </c>
    </row>
    <row r="5" spans="1:23">
      <c r="A5">
        <v>2011</v>
      </c>
      <c r="B5">
        <v>1</v>
      </c>
      <c r="C5">
        <v>4</v>
      </c>
      <c r="D5">
        <v>4</v>
      </c>
      <c r="E5" t="s">
        <v>77</v>
      </c>
      <c r="F5" t="s">
        <v>561</v>
      </c>
      <c r="G5" t="s">
        <v>8</v>
      </c>
      <c r="H5">
        <v>7.5</v>
      </c>
      <c r="N5">
        <v>190</v>
      </c>
      <c r="O5">
        <v>54</v>
      </c>
      <c r="P5">
        <v>65</v>
      </c>
      <c r="Q5">
        <v>4.74</v>
      </c>
      <c r="R5">
        <v>1.3</v>
      </c>
      <c r="S5">
        <v>0</v>
      </c>
      <c r="T5" t="s">
        <v>52</v>
      </c>
      <c r="U5">
        <f t="shared" si="0"/>
        <v>1</v>
      </c>
      <c r="V5" t="str">
        <f t="shared" si="1"/>
        <v>MLB</v>
      </c>
      <c r="W5" t="s">
        <v>1476</v>
      </c>
    </row>
    <row r="6" spans="1:23">
      <c r="A6">
        <v>2011</v>
      </c>
      <c r="B6">
        <v>1</v>
      </c>
      <c r="C6">
        <v>5</v>
      </c>
      <c r="D6">
        <v>5</v>
      </c>
      <c r="E6" t="s">
        <v>43</v>
      </c>
      <c r="F6" t="s">
        <v>562</v>
      </c>
      <c r="G6" t="s">
        <v>2</v>
      </c>
      <c r="H6">
        <v>-1.8</v>
      </c>
      <c r="I6">
        <v>91</v>
      </c>
      <c r="J6">
        <v>245</v>
      </c>
      <c r="K6">
        <v>5</v>
      </c>
      <c r="L6">
        <v>0.20399999999999999</v>
      </c>
      <c r="M6">
        <v>0.54400000000000004</v>
      </c>
      <c r="T6" t="s">
        <v>52</v>
      </c>
      <c r="U6">
        <f t="shared" si="0"/>
        <v>1</v>
      </c>
      <c r="V6" t="str">
        <f t="shared" si="1"/>
        <v>MLB</v>
      </c>
      <c r="W6" t="s">
        <v>1477</v>
      </c>
    </row>
    <row r="7" spans="1:23">
      <c r="A7">
        <v>2011</v>
      </c>
      <c r="B7">
        <v>1</v>
      </c>
      <c r="C7">
        <v>6</v>
      </c>
      <c r="D7">
        <v>6</v>
      </c>
      <c r="E7" t="s">
        <v>53</v>
      </c>
      <c r="F7" t="s">
        <v>563</v>
      </c>
      <c r="G7" t="s">
        <v>11</v>
      </c>
      <c r="H7">
        <v>34.200000000000003</v>
      </c>
      <c r="I7">
        <v>1173</v>
      </c>
      <c r="J7">
        <v>4350</v>
      </c>
      <c r="K7">
        <v>158</v>
      </c>
      <c r="L7">
        <v>0.28000000000000003</v>
      </c>
      <c r="M7">
        <v>0.82899999999999996</v>
      </c>
      <c r="T7" t="s">
        <v>34</v>
      </c>
      <c r="U7">
        <f t="shared" si="0"/>
        <v>0</v>
      </c>
      <c r="V7" t="str">
        <f t="shared" si="1"/>
        <v>MLB</v>
      </c>
      <c r="W7" t="s">
        <v>1478</v>
      </c>
    </row>
    <row r="8" spans="1:23">
      <c r="A8">
        <v>2011</v>
      </c>
      <c r="B8" t="s">
        <v>537</v>
      </c>
      <c r="C8">
        <v>7</v>
      </c>
      <c r="D8">
        <v>7</v>
      </c>
      <c r="E8" t="s">
        <v>91</v>
      </c>
      <c r="F8" t="s">
        <v>564</v>
      </c>
      <c r="G8" t="s">
        <v>8</v>
      </c>
      <c r="H8">
        <v>5.6</v>
      </c>
      <c r="N8">
        <v>333</v>
      </c>
      <c r="O8">
        <v>30</v>
      </c>
      <c r="P8">
        <v>29</v>
      </c>
      <c r="Q8">
        <v>4.03</v>
      </c>
      <c r="R8">
        <v>1.38</v>
      </c>
      <c r="S8">
        <v>32</v>
      </c>
      <c r="T8" t="s">
        <v>52</v>
      </c>
      <c r="U8">
        <f t="shared" si="0"/>
        <v>1</v>
      </c>
      <c r="V8" t="str">
        <f t="shared" si="1"/>
        <v>MLB</v>
      </c>
      <c r="W8" t="s">
        <v>1479</v>
      </c>
    </row>
    <row r="9" spans="1:23">
      <c r="A9">
        <v>2011</v>
      </c>
      <c r="B9">
        <v>1</v>
      </c>
      <c r="C9">
        <v>8</v>
      </c>
      <c r="D9">
        <v>8</v>
      </c>
      <c r="E9" t="s">
        <v>206</v>
      </c>
      <c r="F9" t="s">
        <v>565</v>
      </c>
      <c r="G9" t="s">
        <v>5</v>
      </c>
      <c r="H9">
        <v>56</v>
      </c>
      <c r="I9">
        <v>1559</v>
      </c>
      <c r="J9">
        <v>6179</v>
      </c>
      <c r="K9">
        <v>281</v>
      </c>
      <c r="L9">
        <v>0.27300000000000002</v>
      </c>
      <c r="M9">
        <v>0.81499999999999995</v>
      </c>
      <c r="T9" t="s">
        <v>52</v>
      </c>
      <c r="U9">
        <f t="shared" si="0"/>
        <v>1</v>
      </c>
      <c r="V9" t="str">
        <f t="shared" si="1"/>
        <v>MLB</v>
      </c>
      <c r="W9" t="s">
        <v>1480</v>
      </c>
    </row>
    <row r="10" spans="1:23">
      <c r="A10">
        <v>2011</v>
      </c>
      <c r="B10">
        <v>1</v>
      </c>
      <c r="C10">
        <v>9</v>
      </c>
      <c r="D10">
        <v>9</v>
      </c>
      <c r="E10" t="s">
        <v>61</v>
      </c>
      <c r="F10" t="s">
        <v>566</v>
      </c>
      <c r="G10" t="s">
        <v>5</v>
      </c>
      <c r="H10">
        <v>27</v>
      </c>
      <c r="I10">
        <v>1372</v>
      </c>
      <c r="J10">
        <v>4872</v>
      </c>
      <c r="K10">
        <v>195</v>
      </c>
      <c r="L10">
        <v>0.252</v>
      </c>
      <c r="M10">
        <v>0.72499999999999998</v>
      </c>
      <c r="T10" t="s">
        <v>52</v>
      </c>
      <c r="U10">
        <f t="shared" si="0"/>
        <v>1</v>
      </c>
      <c r="V10" t="str">
        <f t="shared" si="1"/>
        <v>MLB</v>
      </c>
      <c r="W10" t="s">
        <v>1481</v>
      </c>
    </row>
    <row r="11" spans="1:23">
      <c r="A11">
        <v>2011</v>
      </c>
      <c r="B11" t="s">
        <v>537</v>
      </c>
      <c r="C11">
        <v>10</v>
      </c>
      <c r="D11">
        <v>10</v>
      </c>
      <c r="E11" t="s">
        <v>83</v>
      </c>
      <c r="F11" t="s">
        <v>567</v>
      </c>
      <c r="G11" t="s">
        <v>0</v>
      </c>
      <c r="H11">
        <v>4.0999999999999996</v>
      </c>
      <c r="I11">
        <v>420</v>
      </c>
      <c r="J11">
        <v>1250</v>
      </c>
      <c r="K11">
        <v>29</v>
      </c>
      <c r="L11">
        <v>0.25600000000000001</v>
      </c>
      <c r="M11">
        <v>0.70399999999999996</v>
      </c>
      <c r="T11" t="s">
        <v>163</v>
      </c>
      <c r="U11">
        <f t="shared" si="0"/>
        <v>0</v>
      </c>
      <c r="V11" t="str">
        <f t="shared" si="1"/>
        <v>MLB</v>
      </c>
      <c r="W11" t="s">
        <v>1482</v>
      </c>
    </row>
    <row r="12" spans="1:23">
      <c r="A12">
        <v>2011</v>
      </c>
      <c r="B12">
        <v>1</v>
      </c>
      <c r="C12">
        <v>11</v>
      </c>
      <c r="D12">
        <v>11</v>
      </c>
      <c r="E12" t="s">
        <v>89</v>
      </c>
      <c r="F12" t="s">
        <v>568</v>
      </c>
      <c r="G12" t="s">
        <v>2</v>
      </c>
      <c r="H12">
        <v>42</v>
      </c>
      <c r="I12">
        <v>1470</v>
      </c>
      <c r="J12">
        <v>5649</v>
      </c>
      <c r="K12">
        <v>295</v>
      </c>
      <c r="L12">
        <v>0.26500000000000001</v>
      </c>
      <c r="M12">
        <v>0.82699999999999996</v>
      </c>
      <c r="T12" t="s">
        <v>34</v>
      </c>
      <c r="U12">
        <f t="shared" si="0"/>
        <v>0</v>
      </c>
      <c r="V12" t="str">
        <f t="shared" si="1"/>
        <v>MLB</v>
      </c>
      <c r="W12" t="s">
        <v>1483</v>
      </c>
    </row>
    <row r="13" spans="1:23">
      <c r="A13">
        <v>2011</v>
      </c>
      <c r="B13">
        <v>1</v>
      </c>
      <c r="C13">
        <v>12</v>
      </c>
      <c r="D13">
        <v>12</v>
      </c>
      <c r="E13" t="s">
        <v>67</v>
      </c>
      <c r="F13" t="s">
        <v>569</v>
      </c>
      <c r="G13" t="s">
        <v>8</v>
      </c>
      <c r="H13">
        <v>1.3</v>
      </c>
      <c r="N13">
        <v>30</v>
      </c>
      <c r="O13">
        <v>9</v>
      </c>
      <c r="P13">
        <v>13</v>
      </c>
      <c r="Q13">
        <v>4.54</v>
      </c>
      <c r="R13">
        <v>1.38</v>
      </c>
      <c r="S13">
        <v>0</v>
      </c>
      <c r="T13" t="s">
        <v>34</v>
      </c>
      <c r="U13">
        <f t="shared" si="0"/>
        <v>0</v>
      </c>
      <c r="V13" t="str">
        <f t="shared" si="1"/>
        <v>MLB</v>
      </c>
      <c r="W13" t="s">
        <v>1484</v>
      </c>
    </row>
    <row r="14" spans="1:23">
      <c r="A14">
        <v>2011</v>
      </c>
      <c r="B14">
        <v>1</v>
      </c>
      <c r="C14">
        <v>13</v>
      </c>
      <c r="D14">
        <v>13</v>
      </c>
      <c r="E14" t="s">
        <v>71</v>
      </c>
      <c r="F14" t="s">
        <v>570</v>
      </c>
      <c r="G14" t="s">
        <v>2</v>
      </c>
      <c r="H14">
        <v>27.2</v>
      </c>
      <c r="I14">
        <v>1107</v>
      </c>
      <c r="J14">
        <v>3883</v>
      </c>
      <c r="K14">
        <v>139</v>
      </c>
      <c r="L14">
        <v>0.26200000000000001</v>
      </c>
      <c r="M14">
        <v>0.80100000000000005</v>
      </c>
      <c r="T14" t="s">
        <v>52</v>
      </c>
      <c r="U14">
        <f t="shared" si="0"/>
        <v>1</v>
      </c>
      <c r="V14" t="str">
        <f t="shared" si="1"/>
        <v>MLB</v>
      </c>
      <c r="W14" t="s">
        <v>1485</v>
      </c>
    </row>
    <row r="15" spans="1:23">
      <c r="A15">
        <v>2011</v>
      </c>
      <c r="B15">
        <v>1</v>
      </c>
      <c r="C15">
        <v>14</v>
      </c>
      <c r="D15">
        <v>14</v>
      </c>
      <c r="E15" t="s">
        <v>65</v>
      </c>
      <c r="F15" t="s">
        <v>571</v>
      </c>
      <c r="G15" t="s">
        <v>8</v>
      </c>
      <c r="H15">
        <v>14.2</v>
      </c>
      <c r="N15">
        <v>76</v>
      </c>
      <c r="O15">
        <v>38</v>
      </c>
      <c r="P15">
        <v>17</v>
      </c>
      <c r="Q15">
        <v>2.58</v>
      </c>
      <c r="R15">
        <v>1.05</v>
      </c>
      <c r="S15">
        <v>0</v>
      </c>
      <c r="T15" t="s">
        <v>52</v>
      </c>
      <c r="U15">
        <f t="shared" si="0"/>
        <v>1</v>
      </c>
      <c r="V15" t="str">
        <f t="shared" si="1"/>
        <v>MLB</v>
      </c>
      <c r="W15" t="s">
        <v>1486</v>
      </c>
    </row>
    <row r="16" spans="1:23">
      <c r="A16">
        <v>2011</v>
      </c>
      <c r="B16" t="s">
        <v>537</v>
      </c>
      <c r="C16">
        <v>15</v>
      </c>
      <c r="D16">
        <v>15</v>
      </c>
      <c r="E16" t="s">
        <v>67</v>
      </c>
      <c r="F16" t="s">
        <v>572</v>
      </c>
      <c r="G16" t="s">
        <v>9</v>
      </c>
      <c r="H16">
        <v>0</v>
      </c>
      <c r="N16">
        <v>6</v>
      </c>
      <c r="O16">
        <v>1</v>
      </c>
      <c r="P16">
        <v>1</v>
      </c>
      <c r="Q16">
        <v>5.14</v>
      </c>
      <c r="R16">
        <v>1.86</v>
      </c>
      <c r="S16">
        <v>0</v>
      </c>
      <c r="T16" t="s">
        <v>34</v>
      </c>
      <c r="U16">
        <f t="shared" si="0"/>
        <v>0</v>
      </c>
      <c r="V16" t="str">
        <f t="shared" si="1"/>
        <v>MLB</v>
      </c>
      <c r="W16" t="s">
        <v>1487</v>
      </c>
    </row>
    <row r="17" spans="1:23">
      <c r="A17">
        <v>2011</v>
      </c>
      <c r="B17">
        <v>1</v>
      </c>
      <c r="C17">
        <v>16</v>
      </c>
      <c r="D17">
        <v>16</v>
      </c>
      <c r="E17" t="s">
        <v>79</v>
      </c>
      <c r="F17" t="s">
        <v>573</v>
      </c>
      <c r="G17" t="s">
        <v>9</v>
      </c>
      <c r="H17">
        <v>0</v>
      </c>
      <c r="N17">
        <v>2</v>
      </c>
      <c r="O17">
        <v>0</v>
      </c>
      <c r="P17">
        <v>0</v>
      </c>
      <c r="Q17">
        <v>4.5</v>
      </c>
      <c r="R17">
        <v>1.75</v>
      </c>
      <c r="S17">
        <v>0</v>
      </c>
      <c r="T17" t="s">
        <v>34</v>
      </c>
      <c r="U17">
        <f t="shared" si="0"/>
        <v>0</v>
      </c>
      <c r="V17" t="str">
        <f t="shared" si="1"/>
        <v>MLB</v>
      </c>
      <c r="W17" t="s">
        <v>1488</v>
      </c>
    </row>
    <row r="18" spans="1:23">
      <c r="A18">
        <v>2011</v>
      </c>
      <c r="B18">
        <v>1</v>
      </c>
      <c r="C18">
        <v>17</v>
      </c>
      <c r="D18">
        <v>17</v>
      </c>
      <c r="E18" t="s">
        <v>48</v>
      </c>
      <c r="F18" t="s">
        <v>574</v>
      </c>
      <c r="G18" t="s">
        <v>3</v>
      </c>
      <c r="H18">
        <v>12.5</v>
      </c>
      <c r="I18">
        <v>1049</v>
      </c>
      <c r="J18">
        <v>3670</v>
      </c>
      <c r="K18">
        <v>187</v>
      </c>
      <c r="L18">
        <v>0.26</v>
      </c>
      <c r="M18">
        <v>0.79100000000000004</v>
      </c>
      <c r="T18" t="s">
        <v>34</v>
      </c>
      <c r="U18">
        <f t="shared" si="0"/>
        <v>0</v>
      </c>
      <c r="V18" t="str">
        <f t="shared" si="1"/>
        <v>MLB</v>
      </c>
      <c r="W18" t="s">
        <v>1489</v>
      </c>
    </row>
    <row r="19" spans="1:23">
      <c r="A19">
        <v>2011</v>
      </c>
      <c r="B19">
        <v>1</v>
      </c>
      <c r="C19">
        <v>18</v>
      </c>
      <c r="D19">
        <v>18</v>
      </c>
      <c r="E19" t="s">
        <v>39</v>
      </c>
      <c r="F19" t="s">
        <v>575</v>
      </c>
      <c r="G19" t="s">
        <v>8</v>
      </c>
      <c r="H19">
        <v>33.6</v>
      </c>
      <c r="N19">
        <v>346</v>
      </c>
      <c r="O19">
        <v>129</v>
      </c>
      <c r="P19">
        <v>103</v>
      </c>
      <c r="Q19">
        <v>3.57</v>
      </c>
      <c r="R19">
        <v>1.2</v>
      </c>
      <c r="S19">
        <v>0</v>
      </c>
      <c r="T19" t="s">
        <v>34</v>
      </c>
      <c r="U19">
        <f t="shared" si="0"/>
        <v>0</v>
      </c>
      <c r="V19" t="str">
        <f t="shared" si="1"/>
        <v>MLB</v>
      </c>
      <c r="W19" t="s">
        <v>1490</v>
      </c>
    </row>
    <row r="20" spans="1:23">
      <c r="A20">
        <v>2011</v>
      </c>
      <c r="B20">
        <v>1</v>
      </c>
      <c r="C20">
        <v>19</v>
      </c>
      <c r="D20">
        <v>19</v>
      </c>
      <c r="E20" t="s">
        <v>576</v>
      </c>
      <c r="F20" t="s">
        <v>577</v>
      </c>
      <c r="G20" t="s">
        <v>8</v>
      </c>
      <c r="H20">
        <v>4.2</v>
      </c>
      <c r="N20">
        <v>467</v>
      </c>
      <c r="O20">
        <v>33</v>
      </c>
      <c r="P20">
        <v>30</v>
      </c>
      <c r="Q20">
        <v>4.21</v>
      </c>
      <c r="R20">
        <v>1.36</v>
      </c>
      <c r="S20">
        <v>47</v>
      </c>
      <c r="T20" t="s">
        <v>34</v>
      </c>
      <c r="U20">
        <f t="shared" si="0"/>
        <v>0</v>
      </c>
      <c r="V20" t="str">
        <f t="shared" si="1"/>
        <v>MLB</v>
      </c>
      <c r="W20" t="s">
        <v>1491</v>
      </c>
    </row>
    <row r="21" spans="1:23">
      <c r="A21">
        <v>2011</v>
      </c>
      <c r="B21">
        <v>1</v>
      </c>
      <c r="C21">
        <v>20</v>
      </c>
      <c r="D21">
        <v>20</v>
      </c>
      <c r="E21" t="s">
        <v>37</v>
      </c>
      <c r="F21" t="s">
        <v>578</v>
      </c>
      <c r="G21" t="s">
        <v>9</v>
      </c>
      <c r="H21">
        <v>16.7</v>
      </c>
      <c r="N21">
        <v>231</v>
      </c>
      <c r="O21">
        <v>62</v>
      </c>
      <c r="P21">
        <v>72</v>
      </c>
      <c r="Q21">
        <v>4.3</v>
      </c>
      <c r="R21">
        <v>1.3</v>
      </c>
      <c r="S21">
        <v>0</v>
      </c>
      <c r="T21" t="s">
        <v>34</v>
      </c>
      <c r="U21">
        <f t="shared" si="0"/>
        <v>0</v>
      </c>
      <c r="V21" t="str">
        <f t="shared" si="1"/>
        <v>MLB</v>
      </c>
      <c r="W21" t="s">
        <v>1492</v>
      </c>
    </row>
    <row r="22" spans="1:23">
      <c r="A22">
        <v>2011</v>
      </c>
      <c r="B22">
        <v>1</v>
      </c>
      <c r="C22">
        <v>21</v>
      </c>
      <c r="D22">
        <v>21</v>
      </c>
      <c r="E22" t="s">
        <v>73</v>
      </c>
      <c r="F22" t="s">
        <v>434</v>
      </c>
      <c r="G22" t="s">
        <v>8</v>
      </c>
      <c r="H22">
        <v>-1.2</v>
      </c>
      <c r="N22">
        <v>71</v>
      </c>
      <c r="O22">
        <v>8</v>
      </c>
      <c r="P22">
        <v>16</v>
      </c>
      <c r="Q22">
        <v>5.55</v>
      </c>
      <c r="R22">
        <v>1.58</v>
      </c>
      <c r="S22">
        <v>0</v>
      </c>
      <c r="T22" t="s">
        <v>52</v>
      </c>
      <c r="U22">
        <f t="shared" si="0"/>
        <v>1</v>
      </c>
      <c r="V22" t="str">
        <f t="shared" si="1"/>
        <v>MLB</v>
      </c>
      <c r="W22" t="s">
        <v>1493</v>
      </c>
    </row>
    <row r="23" spans="1:23">
      <c r="A23">
        <v>2011</v>
      </c>
      <c r="B23">
        <v>1</v>
      </c>
      <c r="C23">
        <v>22</v>
      </c>
      <c r="D23">
        <v>22</v>
      </c>
      <c r="E23" t="s">
        <v>46</v>
      </c>
      <c r="F23" t="s">
        <v>579</v>
      </c>
      <c r="G23" t="s">
        <v>0</v>
      </c>
      <c r="H23">
        <v>22.9</v>
      </c>
      <c r="I23">
        <v>1189</v>
      </c>
      <c r="J23">
        <v>3796</v>
      </c>
      <c r="K23">
        <v>86</v>
      </c>
      <c r="L23">
        <v>0.25600000000000001</v>
      </c>
      <c r="M23">
        <v>0.71899999999999997</v>
      </c>
      <c r="T23" t="s">
        <v>34</v>
      </c>
      <c r="U23">
        <f t="shared" si="0"/>
        <v>0</v>
      </c>
      <c r="V23" t="str">
        <f t="shared" si="1"/>
        <v>MLB</v>
      </c>
      <c r="W23" t="s">
        <v>1494</v>
      </c>
    </row>
    <row r="24" spans="1:23">
      <c r="A24">
        <v>2011</v>
      </c>
      <c r="B24">
        <v>1</v>
      </c>
      <c r="C24">
        <v>23</v>
      </c>
      <c r="D24">
        <v>23</v>
      </c>
      <c r="E24" t="s">
        <v>580</v>
      </c>
      <c r="F24" t="s">
        <v>581</v>
      </c>
      <c r="G24" t="s">
        <v>8</v>
      </c>
      <c r="H24">
        <v>0.7</v>
      </c>
      <c r="N24">
        <v>22</v>
      </c>
      <c r="O24">
        <v>5</v>
      </c>
      <c r="P24">
        <v>8</v>
      </c>
      <c r="Q24">
        <v>4.63</v>
      </c>
      <c r="R24">
        <v>1.46</v>
      </c>
      <c r="S24">
        <v>0</v>
      </c>
      <c r="T24" t="s">
        <v>34</v>
      </c>
      <c r="U24">
        <f t="shared" si="0"/>
        <v>0</v>
      </c>
      <c r="V24" t="str">
        <f t="shared" si="1"/>
        <v>MLB</v>
      </c>
      <c r="W24" t="s">
        <v>1495</v>
      </c>
    </row>
    <row r="25" spans="1:23">
      <c r="A25">
        <v>2011</v>
      </c>
      <c r="B25">
        <v>1</v>
      </c>
      <c r="C25">
        <v>24</v>
      </c>
      <c r="D25">
        <v>24</v>
      </c>
      <c r="E25" t="s">
        <v>582</v>
      </c>
      <c r="F25" t="s">
        <v>583</v>
      </c>
      <c r="G25" t="s">
        <v>8</v>
      </c>
      <c r="H25">
        <v>0.2</v>
      </c>
      <c r="N25">
        <v>29</v>
      </c>
      <c r="O25">
        <v>0</v>
      </c>
      <c r="P25">
        <v>0</v>
      </c>
      <c r="Q25">
        <v>5.5</v>
      </c>
      <c r="R25">
        <v>1.69</v>
      </c>
      <c r="S25">
        <v>0</v>
      </c>
      <c r="T25" t="s">
        <v>52</v>
      </c>
      <c r="U25">
        <f t="shared" si="0"/>
        <v>1</v>
      </c>
      <c r="V25" t="str">
        <f t="shared" si="1"/>
        <v>MLB</v>
      </c>
      <c r="W25" t="s">
        <v>1496</v>
      </c>
    </row>
    <row r="26" spans="1:23">
      <c r="A26">
        <v>2011</v>
      </c>
      <c r="B26">
        <v>1</v>
      </c>
      <c r="C26">
        <v>25</v>
      </c>
      <c r="D26">
        <v>25</v>
      </c>
      <c r="E26" t="s">
        <v>83</v>
      </c>
      <c r="F26" t="s">
        <v>584</v>
      </c>
      <c r="G26" t="s">
        <v>8</v>
      </c>
      <c r="H26">
        <v>5.0999999999999996</v>
      </c>
      <c r="N26">
        <v>163</v>
      </c>
      <c r="O26">
        <v>31</v>
      </c>
      <c r="P26">
        <v>35</v>
      </c>
      <c r="Q26">
        <v>4.37</v>
      </c>
      <c r="R26">
        <v>1.36</v>
      </c>
      <c r="S26">
        <v>0</v>
      </c>
      <c r="T26" t="s">
        <v>52</v>
      </c>
      <c r="U26">
        <f t="shared" si="0"/>
        <v>1</v>
      </c>
      <c r="V26" t="str">
        <f t="shared" si="1"/>
        <v>MLB</v>
      </c>
      <c r="W26" t="s">
        <v>1497</v>
      </c>
    </row>
    <row r="27" spans="1:23">
      <c r="A27">
        <v>2011</v>
      </c>
      <c r="B27">
        <v>1</v>
      </c>
      <c r="C27">
        <v>26</v>
      </c>
      <c r="D27">
        <v>26</v>
      </c>
      <c r="E27" t="s">
        <v>585</v>
      </c>
      <c r="F27" t="s">
        <v>586</v>
      </c>
      <c r="G27" t="s">
        <v>6</v>
      </c>
      <c r="H27">
        <v>-0.6</v>
      </c>
      <c r="I27">
        <v>234</v>
      </c>
      <c r="J27">
        <v>639</v>
      </c>
      <c r="K27">
        <v>12</v>
      </c>
      <c r="L27">
        <v>0.24299999999999999</v>
      </c>
      <c r="M27">
        <v>0.65600000000000003</v>
      </c>
      <c r="T27" t="s">
        <v>52</v>
      </c>
      <c r="U27">
        <f t="shared" si="0"/>
        <v>1</v>
      </c>
      <c r="V27" t="str">
        <f t="shared" si="1"/>
        <v>MLB</v>
      </c>
      <c r="W27" t="s">
        <v>1498</v>
      </c>
    </row>
    <row r="28" spans="1:23">
      <c r="A28">
        <v>2011</v>
      </c>
      <c r="B28">
        <v>1</v>
      </c>
      <c r="C28">
        <v>27</v>
      </c>
      <c r="D28">
        <v>27</v>
      </c>
      <c r="E28" t="s">
        <v>35</v>
      </c>
      <c r="F28" t="s">
        <v>587</v>
      </c>
      <c r="G28" t="s">
        <v>8</v>
      </c>
      <c r="H28">
        <v>1.1000000000000001</v>
      </c>
      <c r="N28">
        <v>283</v>
      </c>
      <c r="O28">
        <v>19</v>
      </c>
      <c r="P28">
        <v>20</v>
      </c>
      <c r="Q28">
        <v>4.59</v>
      </c>
      <c r="R28">
        <v>1.33</v>
      </c>
      <c r="S28">
        <v>3</v>
      </c>
      <c r="T28" t="s">
        <v>52</v>
      </c>
      <c r="U28">
        <f t="shared" si="0"/>
        <v>1</v>
      </c>
      <c r="V28" t="str">
        <f t="shared" si="1"/>
        <v>MLB</v>
      </c>
      <c r="W28" t="s">
        <v>1499</v>
      </c>
    </row>
    <row r="29" spans="1:23">
      <c r="A29">
        <v>2011</v>
      </c>
      <c r="B29">
        <v>1</v>
      </c>
      <c r="C29">
        <v>28</v>
      </c>
      <c r="D29">
        <v>28</v>
      </c>
      <c r="E29" t="s">
        <v>81</v>
      </c>
      <c r="F29" t="s">
        <v>588</v>
      </c>
      <c r="G29" t="s">
        <v>9</v>
      </c>
      <c r="H29">
        <v>1.2</v>
      </c>
      <c r="N29">
        <v>81</v>
      </c>
      <c r="O29">
        <v>4</v>
      </c>
      <c r="P29">
        <v>5</v>
      </c>
      <c r="Q29">
        <v>4.34</v>
      </c>
      <c r="R29">
        <v>1.42</v>
      </c>
      <c r="S29">
        <v>0</v>
      </c>
      <c r="T29" t="s">
        <v>34</v>
      </c>
      <c r="U29">
        <f t="shared" si="0"/>
        <v>0</v>
      </c>
      <c r="V29" t="str">
        <f t="shared" si="1"/>
        <v>MLB</v>
      </c>
      <c r="W29" t="s">
        <v>1500</v>
      </c>
    </row>
    <row r="30" spans="1:23">
      <c r="A30">
        <v>2011</v>
      </c>
      <c r="B30">
        <v>1</v>
      </c>
      <c r="C30">
        <v>29</v>
      </c>
      <c r="D30">
        <v>29</v>
      </c>
      <c r="E30" t="s">
        <v>59</v>
      </c>
      <c r="F30" t="s">
        <v>589</v>
      </c>
      <c r="G30" t="s">
        <v>5</v>
      </c>
      <c r="H30">
        <v>5.5</v>
      </c>
      <c r="I30">
        <v>818</v>
      </c>
      <c r="J30">
        <v>2778</v>
      </c>
      <c r="K30">
        <v>42</v>
      </c>
      <c r="L30">
        <v>0.26400000000000001</v>
      </c>
      <c r="M30">
        <v>0.7</v>
      </c>
      <c r="T30" t="s">
        <v>34</v>
      </c>
      <c r="U30">
        <f t="shared" si="0"/>
        <v>0</v>
      </c>
      <c r="V30" t="str">
        <f t="shared" si="1"/>
        <v>MLB</v>
      </c>
      <c r="W30" t="s">
        <v>1501</v>
      </c>
    </row>
    <row r="31" spans="1:23">
      <c r="A31">
        <v>2011</v>
      </c>
      <c r="B31">
        <v>1</v>
      </c>
      <c r="C31">
        <v>30</v>
      </c>
      <c r="D31">
        <v>30</v>
      </c>
      <c r="E31" t="s">
        <v>75</v>
      </c>
      <c r="F31" t="s">
        <v>590</v>
      </c>
      <c r="G31" t="s">
        <v>5</v>
      </c>
      <c r="T31" t="s">
        <v>34</v>
      </c>
      <c r="U31">
        <f t="shared" si="0"/>
        <v>0</v>
      </c>
      <c r="V31" t="s">
        <v>12</v>
      </c>
      <c r="W31">
        <v>-9999</v>
      </c>
    </row>
    <row r="32" spans="1:23">
      <c r="A32">
        <v>2011</v>
      </c>
      <c r="B32">
        <v>1</v>
      </c>
      <c r="C32">
        <v>31</v>
      </c>
      <c r="D32">
        <v>31</v>
      </c>
      <c r="E32" t="s">
        <v>591</v>
      </c>
      <c r="F32" t="s">
        <v>592</v>
      </c>
      <c r="G32" t="s">
        <v>2</v>
      </c>
      <c r="H32">
        <v>0.3</v>
      </c>
      <c r="I32">
        <v>291</v>
      </c>
      <c r="J32">
        <v>884</v>
      </c>
      <c r="K32">
        <v>33</v>
      </c>
      <c r="L32">
        <v>0.23499999999999999</v>
      </c>
      <c r="M32">
        <v>0.69699999999999995</v>
      </c>
      <c r="T32" t="s">
        <v>34</v>
      </c>
      <c r="U32">
        <f t="shared" si="0"/>
        <v>0</v>
      </c>
      <c r="V32" t="str">
        <f t="shared" si="1"/>
        <v>MLB</v>
      </c>
      <c r="W32" t="s">
        <v>1502</v>
      </c>
    </row>
    <row r="33" spans="1:23">
      <c r="A33">
        <v>2011</v>
      </c>
      <c r="B33">
        <v>1</v>
      </c>
      <c r="C33">
        <v>32</v>
      </c>
      <c r="D33">
        <v>32</v>
      </c>
      <c r="E33" t="s">
        <v>69</v>
      </c>
      <c r="F33" t="s">
        <v>593</v>
      </c>
      <c r="G33" t="s">
        <v>5</v>
      </c>
      <c r="H33">
        <v>-0.2</v>
      </c>
      <c r="I33">
        <v>42</v>
      </c>
      <c r="J33">
        <v>76</v>
      </c>
      <c r="K33">
        <v>0</v>
      </c>
      <c r="L33">
        <v>0.19700000000000001</v>
      </c>
      <c r="M33">
        <v>0.53100000000000003</v>
      </c>
      <c r="T33" t="s">
        <v>52</v>
      </c>
      <c r="U33">
        <f t="shared" si="0"/>
        <v>1</v>
      </c>
      <c r="V33" t="str">
        <f t="shared" si="1"/>
        <v>MLB</v>
      </c>
      <c r="W33" t="s">
        <v>1503</v>
      </c>
    </row>
    <row r="34" spans="1:23">
      <c r="A34">
        <v>2011</v>
      </c>
      <c r="B34">
        <v>1</v>
      </c>
      <c r="C34">
        <v>33</v>
      </c>
      <c r="D34">
        <v>33</v>
      </c>
      <c r="E34" t="s">
        <v>594</v>
      </c>
      <c r="F34" t="s">
        <v>595</v>
      </c>
      <c r="G34" t="s">
        <v>9</v>
      </c>
      <c r="T34" t="s">
        <v>52</v>
      </c>
      <c r="U34">
        <f t="shared" si="0"/>
        <v>1</v>
      </c>
      <c r="V34" t="s">
        <v>12</v>
      </c>
      <c r="W34">
        <v>-9999</v>
      </c>
    </row>
    <row r="35" spans="1:23">
      <c r="A35">
        <v>2011</v>
      </c>
      <c r="B35" t="s">
        <v>537</v>
      </c>
      <c r="C35">
        <v>34</v>
      </c>
      <c r="D35">
        <v>34</v>
      </c>
      <c r="E35" t="s">
        <v>53</v>
      </c>
      <c r="F35" t="s">
        <v>596</v>
      </c>
      <c r="G35" t="s">
        <v>2</v>
      </c>
      <c r="H35">
        <v>1.4</v>
      </c>
      <c r="I35">
        <v>429</v>
      </c>
      <c r="J35">
        <v>1244</v>
      </c>
      <c r="K35">
        <v>50</v>
      </c>
      <c r="L35">
        <v>0.24399999999999999</v>
      </c>
      <c r="M35">
        <v>0.75700000000000001</v>
      </c>
      <c r="T35" t="s">
        <v>34</v>
      </c>
      <c r="U35">
        <f t="shared" si="0"/>
        <v>0</v>
      </c>
      <c r="V35" t="str">
        <f t="shared" si="1"/>
        <v>MLB</v>
      </c>
      <c r="W35" t="s">
        <v>1504</v>
      </c>
    </row>
    <row r="36" spans="1:23">
      <c r="A36">
        <v>2011</v>
      </c>
      <c r="B36" t="s">
        <v>537</v>
      </c>
      <c r="C36">
        <v>35</v>
      </c>
      <c r="D36">
        <v>35</v>
      </c>
      <c r="E36" t="s">
        <v>73</v>
      </c>
      <c r="F36" t="s">
        <v>597</v>
      </c>
      <c r="G36" t="s">
        <v>2</v>
      </c>
      <c r="T36" t="s">
        <v>52</v>
      </c>
      <c r="U36">
        <f t="shared" si="0"/>
        <v>1</v>
      </c>
      <c r="V36" t="s">
        <v>1114</v>
      </c>
      <c r="W36">
        <v>-9999</v>
      </c>
    </row>
    <row r="37" spans="1:23">
      <c r="A37">
        <v>2011</v>
      </c>
      <c r="B37" t="s">
        <v>537</v>
      </c>
      <c r="C37">
        <v>36</v>
      </c>
      <c r="D37">
        <v>36</v>
      </c>
      <c r="E37" t="s">
        <v>57</v>
      </c>
      <c r="F37" t="s">
        <v>598</v>
      </c>
      <c r="G37" t="s">
        <v>9</v>
      </c>
      <c r="H37">
        <v>0.1</v>
      </c>
      <c r="N37">
        <v>16</v>
      </c>
      <c r="O37">
        <v>4</v>
      </c>
      <c r="P37">
        <v>6</v>
      </c>
      <c r="Q37">
        <v>5.19</v>
      </c>
      <c r="R37">
        <v>1.52</v>
      </c>
      <c r="S37">
        <v>0</v>
      </c>
      <c r="T37" t="s">
        <v>52</v>
      </c>
      <c r="U37">
        <f t="shared" si="0"/>
        <v>1</v>
      </c>
      <c r="V37" t="str">
        <f t="shared" si="1"/>
        <v>MLB</v>
      </c>
      <c r="W37" t="s">
        <v>1505</v>
      </c>
    </row>
    <row r="38" spans="1:23">
      <c r="A38">
        <v>2011</v>
      </c>
      <c r="B38" t="s">
        <v>537</v>
      </c>
      <c r="C38">
        <v>37</v>
      </c>
      <c r="D38">
        <v>37</v>
      </c>
      <c r="E38" t="s">
        <v>93</v>
      </c>
      <c r="F38" t="s">
        <v>599</v>
      </c>
      <c r="G38" t="s">
        <v>2</v>
      </c>
      <c r="T38" t="s">
        <v>34</v>
      </c>
      <c r="U38">
        <f t="shared" si="0"/>
        <v>0</v>
      </c>
      <c r="V38" t="s">
        <v>13</v>
      </c>
      <c r="W38">
        <v>-9999</v>
      </c>
    </row>
    <row r="39" spans="1:23">
      <c r="A39">
        <v>2011</v>
      </c>
      <c r="B39" t="s">
        <v>537</v>
      </c>
      <c r="C39">
        <v>38</v>
      </c>
      <c r="D39">
        <v>38</v>
      </c>
      <c r="E39" t="s">
        <v>69</v>
      </c>
      <c r="F39" t="s">
        <v>600</v>
      </c>
      <c r="G39" t="s">
        <v>5</v>
      </c>
      <c r="T39" t="s">
        <v>52</v>
      </c>
      <c r="U39">
        <f t="shared" si="0"/>
        <v>1</v>
      </c>
      <c r="V39" t="s">
        <v>1114</v>
      </c>
      <c r="W39">
        <v>-9999</v>
      </c>
    </row>
    <row r="40" spans="1:23">
      <c r="A40">
        <v>2011</v>
      </c>
      <c r="B40" t="s">
        <v>537</v>
      </c>
      <c r="C40">
        <v>39</v>
      </c>
      <c r="D40">
        <v>39</v>
      </c>
      <c r="E40" t="s">
        <v>87</v>
      </c>
      <c r="F40" t="s">
        <v>601</v>
      </c>
      <c r="G40" t="s">
        <v>2</v>
      </c>
      <c r="T40" t="s">
        <v>52</v>
      </c>
      <c r="U40">
        <f t="shared" si="0"/>
        <v>1</v>
      </c>
      <c r="V40" t="s">
        <v>1114</v>
      </c>
      <c r="W40">
        <v>-9999</v>
      </c>
    </row>
    <row r="41" spans="1:23">
      <c r="A41">
        <v>2011</v>
      </c>
      <c r="B41" t="s">
        <v>537</v>
      </c>
      <c r="C41">
        <v>40</v>
      </c>
      <c r="D41">
        <v>40</v>
      </c>
      <c r="E41" t="s">
        <v>57</v>
      </c>
      <c r="F41" t="s">
        <v>602</v>
      </c>
      <c r="G41" t="s">
        <v>2</v>
      </c>
      <c r="H41">
        <v>16.600000000000001</v>
      </c>
      <c r="I41">
        <v>1181</v>
      </c>
      <c r="J41">
        <v>3735</v>
      </c>
      <c r="K41">
        <v>109</v>
      </c>
      <c r="L41">
        <v>0.22500000000000001</v>
      </c>
      <c r="M41">
        <v>0.68400000000000005</v>
      </c>
      <c r="T41" t="s">
        <v>34</v>
      </c>
      <c r="U41">
        <f t="shared" si="0"/>
        <v>0</v>
      </c>
      <c r="V41" t="str">
        <f t="shared" si="1"/>
        <v>MLB</v>
      </c>
      <c r="W41" t="s">
        <v>1506</v>
      </c>
    </row>
    <row r="42" spans="1:23">
      <c r="A42">
        <v>2011</v>
      </c>
      <c r="B42" t="s">
        <v>537</v>
      </c>
      <c r="C42">
        <v>41</v>
      </c>
      <c r="D42">
        <v>41</v>
      </c>
      <c r="E42" t="s">
        <v>69</v>
      </c>
      <c r="F42" t="s">
        <v>603</v>
      </c>
      <c r="G42" t="s">
        <v>11</v>
      </c>
      <c r="H42">
        <v>-1.3</v>
      </c>
      <c r="I42">
        <v>92</v>
      </c>
      <c r="J42">
        <v>213</v>
      </c>
      <c r="K42">
        <v>4</v>
      </c>
      <c r="L42">
        <v>0.192</v>
      </c>
      <c r="M42">
        <v>0.54900000000000004</v>
      </c>
      <c r="T42" t="s">
        <v>52</v>
      </c>
      <c r="U42">
        <f t="shared" si="0"/>
        <v>1</v>
      </c>
      <c r="V42" t="str">
        <f t="shared" si="1"/>
        <v>MLB</v>
      </c>
      <c r="W42" t="s">
        <v>1507</v>
      </c>
    </row>
    <row r="43" spans="1:23">
      <c r="A43">
        <v>2011</v>
      </c>
      <c r="B43" t="s">
        <v>537</v>
      </c>
      <c r="C43">
        <v>42</v>
      </c>
      <c r="D43">
        <v>42</v>
      </c>
      <c r="E43" t="s">
        <v>69</v>
      </c>
      <c r="F43" t="s">
        <v>604</v>
      </c>
      <c r="G43" t="s">
        <v>8</v>
      </c>
      <c r="T43" t="s">
        <v>163</v>
      </c>
      <c r="U43">
        <f t="shared" si="0"/>
        <v>0</v>
      </c>
      <c r="V43" t="s">
        <v>12</v>
      </c>
      <c r="W43">
        <v>-9999</v>
      </c>
    </row>
    <row r="44" spans="1:23">
      <c r="A44">
        <v>2011</v>
      </c>
      <c r="B44" t="s">
        <v>537</v>
      </c>
      <c r="C44">
        <v>43</v>
      </c>
      <c r="D44">
        <v>43</v>
      </c>
      <c r="E44" t="s">
        <v>91</v>
      </c>
      <c r="F44" t="s">
        <v>605</v>
      </c>
      <c r="G44" t="s">
        <v>9</v>
      </c>
      <c r="H44">
        <v>8.1</v>
      </c>
      <c r="N44">
        <v>643</v>
      </c>
      <c r="O44">
        <v>22</v>
      </c>
      <c r="P44">
        <v>28</v>
      </c>
      <c r="Q44">
        <v>3.35</v>
      </c>
      <c r="R44">
        <v>1.28</v>
      </c>
      <c r="S44">
        <v>20</v>
      </c>
      <c r="T44" t="s">
        <v>34</v>
      </c>
      <c r="U44">
        <f t="shared" si="0"/>
        <v>0</v>
      </c>
      <c r="V44" t="str">
        <f t="shared" si="1"/>
        <v>MLB</v>
      </c>
      <c r="W44" t="s">
        <v>1508</v>
      </c>
    </row>
    <row r="45" spans="1:23">
      <c r="A45">
        <v>2011</v>
      </c>
      <c r="B45" t="s">
        <v>537</v>
      </c>
      <c r="C45">
        <v>44</v>
      </c>
      <c r="D45">
        <v>44</v>
      </c>
      <c r="E45" t="s">
        <v>71</v>
      </c>
      <c r="F45" t="s">
        <v>606</v>
      </c>
      <c r="G45" t="s">
        <v>8</v>
      </c>
      <c r="H45">
        <v>12.5</v>
      </c>
      <c r="N45">
        <v>265</v>
      </c>
      <c r="O45">
        <v>37</v>
      </c>
      <c r="P45">
        <v>50</v>
      </c>
      <c r="Q45">
        <v>3.95</v>
      </c>
      <c r="R45">
        <v>1.26</v>
      </c>
      <c r="S45">
        <v>19</v>
      </c>
      <c r="T45" t="s">
        <v>52</v>
      </c>
      <c r="U45">
        <f t="shared" si="0"/>
        <v>1</v>
      </c>
      <c r="V45" t="str">
        <f t="shared" si="1"/>
        <v>MLB</v>
      </c>
      <c r="W45" t="s">
        <v>1509</v>
      </c>
    </row>
    <row r="46" spans="1:23">
      <c r="A46">
        <v>2011</v>
      </c>
      <c r="B46" t="s">
        <v>537</v>
      </c>
      <c r="C46">
        <v>45</v>
      </c>
      <c r="D46">
        <v>45</v>
      </c>
      <c r="E46" t="s">
        <v>37</v>
      </c>
      <c r="F46" t="s">
        <v>607</v>
      </c>
      <c r="G46" t="s">
        <v>5</v>
      </c>
      <c r="H46">
        <v>35.200000000000003</v>
      </c>
      <c r="I46">
        <v>1105</v>
      </c>
      <c r="J46">
        <v>4204</v>
      </c>
      <c r="K46">
        <v>207</v>
      </c>
      <c r="L46">
        <v>0.26300000000000001</v>
      </c>
      <c r="M46">
        <v>0.80900000000000005</v>
      </c>
      <c r="T46" t="s">
        <v>52</v>
      </c>
      <c r="U46">
        <f t="shared" si="0"/>
        <v>1</v>
      </c>
      <c r="V46" t="str">
        <f t="shared" si="1"/>
        <v>MLB</v>
      </c>
      <c r="W46" t="s">
        <v>1510</v>
      </c>
    </row>
    <row r="47" spans="1:23">
      <c r="A47">
        <v>2011</v>
      </c>
      <c r="B47" t="s">
        <v>537</v>
      </c>
      <c r="C47">
        <v>46</v>
      </c>
      <c r="D47">
        <v>46</v>
      </c>
      <c r="E47" t="s">
        <v>73</v>
      </c>
      <c r="F47" t="s">
        <v>608</v>
      </c>
      <c r="G47" t="s">
        <v>8</v>
      </c>
      <c r="H47">
        <v>15</v>
      </c>
      <c r="N47">
        <v>206</v>
      </c>
      <c r="O47">
        <v>66</v>
      </c>
      <c r="P47">
        <v>62</v>
      </c>
      <c r="Q47">
        <v>3.73</v>
      </c>
      <c r="R47">
        <v>1.17</v>
      </c>
      <c r="S47">
        <v>2</v>
      </c>
      <c r="T47" t="s">
        <v>52</v>
      </c>
      <c r="U47">
        <f t="shared" si="0"/>
        <v>1</v>
      </c>
      <c r="V47" t="str">
        <f t="shared" si="1"/>
        <v>MLB</v>
      </c>
      <c r="W47" t="s">
        <v>1511</v>
      </c>
    </row>
    <row r="48" spans="1:23">
      <c r="A48">
        <v>2011</v>
      </c>
      <c r="B48" t="s">
        <v>537</v>
      </c>
      <c r="C48">
        <v>47</v>
      </c>
      <c r="D48">
        <v>47</v>
      </c>
      <c r="E48" t="s">
        <v>41</v>
      </c>
      <c r="F48" t="s">
        <v>609</v>
      </c>
      <c r="G48" t="s">
        <v>2</v>
      </c>
      <c r="T48" t="s">
        <v>163</v>
      </c>
      <c r="U48">
        <f t="shared" si="0"/>
        <v>0</v>
      </c>
      <c r="V48" t="s">
        <v>13</v>
      </c>
      <c r="W48">
        <v>-9999</v>
      </c>
    </row>
    <row r="49" spans="1:23">
      <c r="A49">
        <v>2011</v>
      </c>
      <c r="B49" t="s">
        <v>537</v>
      </c>
      <c r="C49">
        <v>48</v>
      </c>
      <c r="D49">
        <v>48</v>
      </c>
      <c r="E49" t="s">
        <v>83</v>
      </c>
      <c r="F49" t="s">
        <v>610</v>
      </c>
      <c r="G49" t="s">
        <v>8</v>
      </c>
      <c r="H49">
        <v>1.6</v>
      </c>
      <c r="N49">
        <v>92</v>
      </c>
      <c r="O49">
        <v>8</v>
      </c>
      <c r="P49">
        <v>6</v>
      </c>
      <c r="Q49">
        <v>3.19</v>
      </c>
      <c r="R49">
        <v>1.29</v>
      </c>
      <c r="S49">
        <v>2</v>
      </c>
      <c r="T49" t="s">
        <v>52</v>
      </c>
      <c r="U49">
        <f t="shared" si="0"/>
        <v>1</v>
      </c>
      <c r="V49" t="str">
        <f t="shared" si="1"/>
        <v>MLB</v>
      </c>
      <c r="W49" t="s">
        <v>1512</v>
      </c>
    </row>
    <row r="50" spans="1:23">
      <c r="A50">
        <v>2011</v>
      </c>
      <c r="B50" t="s">
        <v>537</v>
      </c>
      <c r="C50">
        <v>49</v>
      </c>
      <c r="D50">
        <v>49</v>
      </c>
      <c r="E50" t="s">
        <v>59</v>
      </c>
      <c r="F50" t="s">
        <v>611</v>
      </c>
      <c r="G50" t="s">
        <v>8</v>
      </c>
      <c r="H50">
        <v>1.6</v>
      </c>
      <c r="N50">
        <v>194</v>
      </c>
      <c r="O50">
        <v>9</v>
      </c>
      <c r="P50">
        <v>11</v>
      </c>
      <c r="Q50">
        <v>3.56</v>
      </c>
      <c r="R50">
        <v>1.32</v>
      </c>
      <c r="S50">
        <v>2</v>
      </c>
      <c r="T50" t="s">
        <v>52</v>
      </c>
      <c r="U50">
        <f t="shared" si="0"/>
        <v>1</v>
      </c>
      <c r="V50" t="str">
        <f t="shared" si="1"/>
        <v>MLB</v>
      </c>
      <c r="W50" t="s">
        <v>1513</v>
      </c>
    </row>
    <row r="51" spans="1:23">
      <c r="A51">
        <v>2011</v>
      </c>
      <c r="B51" t="s">
        <v>537</v>
      </c>
      <c r="C51">
        <v>50</v>
      </c>
      <c r="D51">
        <v>50</v>
      </c>
      <c r="E51" t="s">
        <v>75</v>
      </c>
      <c r="F51" t="s">
        <v>612</v>
      </c>
      <c r="G51" t="s">
        <v>11</v>
      </c>
      <c r="T51" t="s">
        <v>52</v>
      </c>
      <c r="U51">
        <f t="shared" si="0"/>
        <v>1</v>
      </c>
      <c r="V51" t="s">
        <v>13</v>
      </c>
      <c r="W51">
        <v>-9999</v>
      </c>
    </row>
    <row r="52" spans="1:23">
      <c r="W52">
        <v>-9999</v>
      </c>
    </row>
    <row r="53" spans="1:23">
      <c r="W53" t="s">
        <v>1514</v>
      </c>
    </row>
    <row r="54" spans="1:23">
      <c r="W54" t="s">
        <v>1515</v>
      </c>
    </row>
    <row r="55" spans="1:23">
      <c r="W55">
        <v>-9999</v>
      </c>
    </row>
    <row r="56" spans="1:23">
      <c r="W56">
        <v>-9999</v>
      </c>
    </row>
    <row r="57" spans="1:23">
      <c r="W57">
        <v>-9999</v>
      </c>
    </row>
    <row r="58" spans="1:23">
      <c r="W58">
        <v>-9999</v>
      </c>
    </row>
    <row r="59" spans="1:23">
      <c r="W59" t="s">
        <v>1516</v>
      </c>
    </row>
    <row r="60" spans="1:23">
      <c r="W60">
        <v>-9999</v>
      </c>
    </row>
    <row r="61" spans="1:23">
      <c r="W61">
        <v>-9999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C0303-023E-45D0-8141-FB00FEA5826D}">
  <dimension ref="A1:W61"/>
  <sheetViews>
    <sheetView workbookViewId="0">
      <selection activeCell="W1" sqref="W1"/>
    </sheetView>
  </sheetViews>
  <sheetFormatPr defaultRowHeight="14.5"/>
  <cols>
    <col min="1" max="1" width="4.81640625" bestFit="1" customWidth="1"/>
    <col min="2" max="2" width="3.90625" bestFit="1" customWidth="1"/>
    <col min="3" max="3" width="6" bestFit="1" customWidth="1"/>
    <col min="4" max="4" width="5.90625" bestFit="1" customWidth="1"/>
    <col min="5" max="5" width="17.08984375" bestFit="1" customWidth="1"/>
    <col min="6" max="6" width="24.90625" bestFit="1" customWidth="1"/>
    <col min="7" max="7" width="4.26953125" bestFit="1" customWidth="1"/>
    <col min="8" max="10" width="4.81640625" bestFit="1" customWidth="1"/>
    <col min="11" max="11" width="3.81640625" bestFit="1" customWidth="1"/>
    <col min="12" max="13" width="5.81640625" bestFit="1" customWidth="1"/>
    <col min="14" max="16" width="3.81640625" bestFit="1" customWidth="1"/>
    <col min="17" max="17" width="5.81640625" bestFit="1" customWidth="1"/>
    <col min="18" max="18" width="5.26953125" bestFit="1" customWidth="1"/>
    <col min="19" max="19" width="2.90625" bestFit="1" customWidth="1"/>
    <col min="20" max="20" width="4.54296875" bestFit="1" customWidth="1"/>
    <col min="21" max="21" width="4" bestFit="1" customWidth="1"/>
  </cols>
  <sheetData>
    <row r="1" spans="1:23">
      <c r="A1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>
        <v>2012</v>
      </c>
      <c r="B2">
        <v>1</v>
      </c>
      <c r="C2">
        <v>1</v>
      </c>
      <c r="D2">
        <v>1</v>
      </c>
      <c r="E2" t="s">
        <v>89</v>
      </c>
      <c r="F2" t="s">
        <v>506</v>
      </c>
      <c r="G2" t="s">
        <v>5</v>
      </c>
      <c r="H2">
        <v>47</v>
      </c>
      <c r="I2">
        <v>1285</v>
      </c>
      <c r="J2">
        <v>4838</v>
      </c>
      <c r="K2">
        <v>203</v>
      </c>
      <c r="L2">
        <v>0.27500000000000002</v>
      </c>
      <c r="M2">
        <v>0.81499999999999995</v>
      </c>
      <c r="T2" t="s">
        <v>52</v>
      </c>
      <c r="U2">
        <f>IF(ISNUMBER(SEARCH("HS",T2)),1,0)</f>
        <v>1</v>
      </c>
      <c r="V2" t="str">
        <f>IF(ISNUMBER(H2),"MLB","")</f>
        <v>MLB</v>
      </c>
      <c r="W2" t="s">
        <v>1517</v>
      </c>
    </row>
    <row r="3" spans="1:23">
      <c r="A3">
        <v>2012</v>
      </c>
      <c r="B3">
        <v>1</v>
      </c>
      <c r="C3">
        <v>2</v>
      </c>
      <c r="D3">
        <v>2</v>
      </c>
      <c r="E3" t="s">
        <v>75</v>
      </c>
      <c r="F3" t="s">
        <v>507</v>
      </c>
      <c r="G3" t="s">
        <v>2</v>
      </c>
      <c r="H3">
        <v>31.5</v>
      </c>
      <c r="I3">
        <v>938</v>
      </c>
      <c r="J3">
        <v>3271</v>
      </c>
      <c r="K3">
        <v>183</v>
      </c>
      <c r="L3">
        <v>0.248</v>
      </c>
      <c r="M3">
        <v>0.80100000000000005</v>
      </c>
      <c r="T3" t="s">
        <v>52</v>
      </c>
      <c r="U3">
        <f t="shared" ref="U3:U51" si="0">IF(ISNUMBER(SEARCH("HS",T3)),1,0)</f>
        <v>1</v>
      </c>
      <c r="V3" t="str">
        <f t="shared" ref="V3:V50" si="1">IF(ISNUMBER(H3),"MLB","")</f>
        <v>MLB</v>
      </c>
      <c r="W3" t="s">
        <v>1518</v>
      </c>
    </row>
    <row r="4" spans="1:23">
      <c r="A4">
        <v>2012</v>
      </c>
      <c r="B4">
        <v>1</v>
      </c>
      <c r="C4">
        <v>3</v>
      </c>
      <c r="D4">
        <v>3</v>
      </c>
      <c r="E4" t="s">
        <v>63</v>
      </c>
      <c r="F4" t="s">
        <v>508</v>
      </c>
      <c r="G4" t="s">
        <v>6</v>
      </c>
      <c r="H4">
        <v>9</v>
      </c>
      <c r="I4">
        <v>892</v>
      </c>
      <c r="J4">
        <v>2798</v>
      </c>
      <c r="K4">
        <v>149</v>
      </c>
      <c r="L4">
        <v>0.19900000000000001</v>
      </c>
      <c r="M4">
        <v>0.67600000000000005</v>
      </c>
      <c r="T4" t="s">
        <v>34</v>
      </c>
      <c r="U4">
        <f t="shared" si="0"/>
        <v>0</v>
      </c>
      <c r="V4" t="str">
        <f t="shared" si="1"/>
        <v>MLB</v>
      </c>
      <c r="W4" t="s">
        <v>1519</v>
      </c>
    </row>
    <row r="5" spans="1:23">
      <c r="A5">
        <v>2012</v>
      </c>
      <c r="B5">
        <v>1</v>
      </c>
      <c r="C5">
        <v>4</v>
      </c>
      <c r="D5">
        <v>4</v>
      </c>
      <c r="E5" t="s">
        <v>77</v>
      </c>
      <c r="F5" t="s">
        <v>509</v>
      </c>
      <c r="G5" t="s">
        <v>8</v>
      </c>
      <c r="H5">
        <v>28.7</v>
      </c>
      <c r="N5">
        <v>370</v>
      </c>
      <c r="O5">
        <v>114</v>
      </c>
      <c r="P5">
        <v>116</v>
      </c>
      <c r="Q5">
        <v>3.82</v>
      </c>
      <c r="R5">
        <v>1.24</v>
      </c>
      <c r="S5">
        <v>0</v>
      </c>
      <c r="T5" t="s">
        <v>34</v>
      </c>
      <c r="U5">
        <f t="shared" si="0"/>
        <v>0</v>
      </c>
      <c r="V5" t="str">
        <f t="shared" si="1"/>
        <v>MLB</v>
      </c>
      <c r="W5" t="s">
        <v>1520</v>
      </c>
    </row>
    <row r="6" spans="1:23">
      <c r="A6">
        <v>2012</v>
      </c>
      <c r="B6">
        <v>1</v>
      </c>
      <c r="C6">
        <v>5</v>
      </c>
      <c r="D6">
        <v>5</v>
      </c>
      <c r="E6" t="s">
        <v>43</v>
      </c>
      <c r="F6" t="s">
        <v>510</v>
      </c>
      <c r="G6" t="s">
        <v>8</v>
      </c>
      <c r="H6">
        <v>0</v>
      </c>
      <c r="N6">
        <v>83</v>
      </c>
      <c r="O6">
        <v>5</v>
      </c>
      <c r="P6">
        <v>2</v>
      </c>
      <c r="Q6">
        <v>5.19</v>
      </c>
      <c r="R6">
        <v>1.54</v>
      </c>
      <c r="S6">
        <v>2</v>
      </c>
      <c r="T6" t="s">
        <v>34</v>
      </c>
      <c r="U6">
        <f t="shared" si="0"/>
        <v>0</v>
      </c>
      <c r="V6" t="str">
        <f t="shared" si="1"/>
        <v>MLB</v>
      </c>
      <c r="W6" t="s">
        <v>1521</v>
      </c>
    </row>
    <row r="7" spans="1:23">
      <c r="A7">
        <v>2012</v>
      </c>
      <c r="B7">
        <v>1</v>
      </c>
      <c r="C7">
        <v>6</v>
      </c>
      <c r="D7">
        <v>6</v>
      </c>
      <c r="E7" t="s">
        <v>61</v>
      </c>
      <c r="F7" t="s">
        <v>511</v>
      </c>
      <c r="G7" t="s">
        <v>2</v>
      </c>
      <c r="H7">
        <v>3.2</v>
      </c>
      <c r="N7">
        <v>1</v>
      </c>
      <c r="O7">
        <v>0</v>
      </c>
      <c r="P7">
        <v>0</v>
      </c>
      <c r="Q7">
        <v>27</v>
      </c>
      <c r="R7">
        <v>2</v>
      </c>
      <c r="S7">
        <v>0</v>
      </c>
      <c r="T7" t="s">
        <v>52</v>
      </c>
      <c r="U7">
        <f t="shared" si="0"/>
        <v>1</v>
      </c>
      <c r="V7" t="str">
        <f t="shared" si="1"/>
        <v>MLB</v>
      </c>
      <c r="W7" t="s">
        <v>1522</v>
      </c>
    </row>
    <row r="8" spans="1:23">
      <c r="A8">
        <v>2012</v>
      </c>
      <c r="B8">
        <v>1</v>
      </c>
      <c r="C8">
        <v>7</v>
      </c>
      <c r="D8">
        <v>7</v>
      </c>
      <c r="E8" t="s">
        <v>83</v>
      </c>
      <c r="F8" t="s">
        <v>512</v>
      </c>
      <c r="G8" t="s">
        <v>9</v>
      </c>
      <c r="H8">
        <v>30</v>
      </c>
      <c r="N8">
        <v>210</v>
      </c>
      <c r="O8">
        <v>96</v>
      </c>
      <c r="P8">
        <v>44</v>
      </c>
      <c r="Q8">
        <v>3.04</v>
      </c>
      <c r="R8">
        <v>1.1399999999999999</v>
      </c>
      <c r="S8">
        <v>0</v>
      </c>
      <c r="T8" t="s">
        <v>52</v>
      </c>
      <c r="U8">
        <f t="shared" si="0"/>
        <v>1</v>
      </c>
      <c r="V8" t="str">
        <f t="shared" si="1"/>
        <v>MLB</v>
      </c>
      <c r="W8" t="s">
        <v>1523</v>
      </c>
    </row>
    <row r="9" spans="1:23">
      <c r="A9">
        <v>2012</v>
      </c>
      <c r="B9">
        <v>1</v>
      </c>
      <c r="C9">
        <v>8</v>
      </c>
      <c r="D9">
        <v>8</v>
      </c>
      <c r="E9" t="s">
        <v>50</v>
      </c>
      <c r="F9" t="s">
        <v>462</v>
      </c>
      <c r="G9" t="s">
        <v>8</v>
      </c>
      <c r="H9">
        <v>0.3</v>
      </c>
      <c r="N9">
        <v>6</v>
      </c>
      <c r="O9">
        <v>0</v>
      </c>
      <c r="P9">
        <v>0</v>
      </c>
      <c r="Q9">
        <v>1.74</v>
      </c>
      <c r="R9">
        <v>1.1599999999999999</v>
      </c>
      <c r="S9">
        <v>0</v>
      </c>
      <c r="T9" t="s">
        <v>34</v>
      </c>
      <c r="U9">
        <f t="shared" si="0"/>
        <v>0</v>
      </c>
      <c r="V9" t="str">
        <f t="shared" si="1"/>
        <v>MLB</v>
      </c>
      <c r="W9" t="s">
        <v>1524</v>
      </c>
    </row>
    <row r="10" spans="1:23">
      <c r="A10">
        <v>2012</v>
      </c>
      <c r="B10">
        <v>1</v>
      </c>
      <c r="C10">
        <v>9</v>
      </c>
      <c r="D10">
        <v>9</v>
      </c>
      <c r="E10" t="s">
        <v>65</v>
      </c>
      <c r="F10" t="s">
        <v>513</v>
      </c>
      <c r="G10" t="s">
        <v>9</v>
      </c>
      <c r="H10">
        <v>7.4</v>
      </c>
      <c r="N10">
        <v>230</v>
      </c>
      <c r="O10">
        <v>56</v>
      </c>
      <c r="P10">
        <v>72</v>
      </c>
      <c r="Q10">
        <v>4.57</v>
      </c>
      <c r="R10">
        <v>1.28</v>
      </c>
      <c r="S10">
        <v>0</v>
      </c>
      <c r="T10" t="s">
        <v>34</v>
      </c>
      <c r="U10">
        <f t="shared" si="0"/>
        <v>0</v>
      </c>
      <c r="V10" t="str">
        <f t="shared" si="1"/>
        <v>MLB</v>
      </c>
      <c r="W10" t="s">
        <v>1525</v>
      </c>
    </row>
    <row r="11" spans="1:23">
      <c r="A11">
        <v>2012</v>
      </c>
      <c r="B11">
        <v>1</v>
      </c>
      <c r="C11">
        <v>10</v>
      </c>
      <c r="D11">
        <v>10</v>
      </c>
      <c r="E11" t="s">
        <v>37</v>
      </c>
      <c r="F11" t="s">
        <v>514</v>
      </c>
      <c r="G11" t="s">
        <v>2</v>
      </c>
      <c r="H11">
        <v>0.9</v>
      </c>
      <c r="I11">
        <v>350</v>
      </c>
      <c r="J11">
        <v>1210</v>
      </c>
      <c r="K11">
        <v>46</v>
      </c>
      <c r="L11">
        <v>0.26800000000000002</v>
      </c>
      <c r="M11">
        <v>0.77300000000000002</v>
      </c>
      <c r="T11" t="s">
        <v>52</v>
      </c>
      <c r="U11">
        <f t="shared" si="0"/>
        <v>1</v>
      </c>
      <c r="V11" t="str">
        <f t="shared" si="1"/>
        <v>MLB</v>
      </c>
      <c r="W11" t="s">
        <v>1526</v>
      </c>
    </row>
    <row r="12" spans="1:23">
      <c r="A12">
        <v>2012</v>
      </c>
      <c r="B12">
        <v>1</v>
      </c>
      <c r="C12">
        <v>11</v>
      </c>
      <c r="D12">
        <v>11</v>
      </c>
      <c r="E12" t="s">
        <v>39</v>
      </c>
      <c r="F12" t="s">
        <v>515</v>
      </c>
      <c r="G12" t="s">
        <v>5</v>
      </c>
      <c r="H12">
        <v>11.7</v>
      </c>
      <c r="I12">
        <v>615</v>
      </c>
      <c r="J12">
        <v>1987</v>
      </c>
      <c r="K12">
        <v>60</v>
      </c>
      <c r="L12">
        <v>0.24199999999999999</v>
      </c>
      <c r="M12">
        <v>0.70399999999999996</v>
      </c>
      <c r="T12" t="s">
        <v>52</v>
      </c>
      <c r="U12">
        <f t="shared" si="0"/>
        <v>1</v>
      </c>
      <c r="V12" t="str">
        <f t="shared" si="1"/>
        <v>MLB</v>
      </c>
      <c r="W12" t="s">
        <v>1527</v>
      </c>
    </row>
    <row r="13" spans="1:23">
      <c r="A13">
        <v>2012</v>
      </c>
      <c r="B13">
        <v>1</v>
      </c>
      <c r="C13">
        <v>12</v>
      </c>
      <c r="D13">
        <v>12</v>
      </c>
      <c r="E13" t="s">
        <v>71</v>
      </c>
      <c r="F13" t="s">
        <v>516</v>
      </c>
      <c r="G13" t="s">
        <v>5</v>
      </c>
      <c r="H13">
        <v>-0.5</v>
      </c>
      <c r="I13">
        <v>36</v>
      </c>
      <c r="J13">
        <v>83</v>
      </c>
      <c r="K13">
        <v>1</v>
      </c>
      <c r="L13">
        <v>0.217</v>
      </c>
      <c r="M13">
        <v>0.57099999999999995</v>
      </c>
      <c r="T13" t="s">
        <v>52</v>
      </c>
      <c r="U13">
        <f t="shared" si="0"/>
        <v>1</v>
      </c>
      <c r="V13" t="str">
        <f t="shared" si="1"/>
        <v>MLB</v>
      </c>
      <c r="W13" t="s">
        <v>1528</v>
      </c>
    </row>
    <row r="14" spans="1:23">
      <c r="A14">
        <v>2012</v>
      </c>
      <c r="B14">
        <v>1</v>
      </c>
      <c r="C14">
        <v>13</v>
      </c>
      <c r="D14">
        <v>13</v>
      </c>
      <c r="E14" t="s">
        <v>41</v>
      </c>
      <c r="F14" t="s">
        <v>517</v>
      </c>
      <c r="G14" t="s">
        <v>2</v>
      </c>
      <c r="T14" t="s">
        <v>52</v>
      </c>
      <c r="U14">
        <f t="shared" si="0"/>
        <v>1</v>
      </c>
      <c r="V14" t="s">
        <v>12</v>
      </c>
      <c r="W14">
        <v>-9999</v>
      </c>
    </row>
    <row r="15" spans="1:23">
      <c r="A15">
        <v>2012</v>
      </c>
      <c r="B15">
        <v>1</v>
      </c>
      <c r="C15">
        <v>14</v>
      </c>
      <c r="D15">
        <v>14</v>
      </c>
      <c r="E15" t="s">
        <v>35</v>
      </c>
      <c r="F15" t="s">
        <v>518</v>
      </c>
      <c r="G15" t="s">
        <v>8</v>
      </c>
      <c r="T15" t="s">
        <v>52</v>
      </c>
      <c r="U15">
        <f t="shared" si="0"/>
        <v>1</v>
      </c>
      <c r="V15" t="s">
        <v>13</v>
      </c>
      <c r="W15">
        <v>-9999</v>
      </c>
    </row>
    <row r="16" spans="1:23">
      <c r="A16">
        <v>2012</v>
      </c>
      <c r="B16">
        <v>1</v>
      </c>
      <c r="C16">
        <v>15</v>
      </c>
      <c r="D16">
        <v>15</v>
      </c>
      <c r="E16" t="s">
        <v>206</v>
      </c>
      <c r="F16" t="s">
        <v>519</v>
      </c>
      <c r="G16" t="s">
        <v>2</v>
      </c>
      <c r="H16">
        <v>3.3</v>
      </c>
      <c r="I16">
        <v>562</v>
      </c>
      <c r="J16">
        <v>1668</v>
      </c>
      <c r="K16">
        <v>61</v>
      </c>
      <c r="L16">
        <v>0.26300000000000001</v>
      </c>
      <c r="M16">
        <v>0.76200000000000001</v>
      </c>
      <c r="T16" t="s">
        <v>34</v>
      </c>
      <c r="U16">
        <f t="shared" si="0"/>
        <v>0</v>
      </c>
      <c r="V16" t="str">
        <f t="shared" si="1"/>
        <v>MLB</v>
      </c>
      <c r="W16" t="s">
        <v>1529</v>
      </c>
    </row>
    <row r="17" spans="1:23">
      <c r="A17">
        <v>2012</v>
      </c>
      <c r="B17">
        <v>1</v>
      </c>
      <c r="C17">
        <v>16</v>
      </c>
      <c r="D17">
        <v>16</v>
      </c>
      <c r="E17" t="s">
        <v>53</v>
      </c>
      <c r="F17" t="s">
        <v>520</v>
      </c>
      <c r="G17" t="s">
        <v>8</v>
      </c>
      <c r="H17">
        <v>14.5</v>
      </c>
      <c r="N17">
        <v>206</v>
      </c>
      <c r="O17">
        <v>71</v>
      </c>
      <c r="P17">
        <v>66</v>
      </c>
      <c r="Q17">
        <v>4.3</v>
      </c>
      <c r="R17">
        <v>1.26</v>
      </c>
      <c r="S17">
        <v>0</v>
      </c>
      <c r="T17" t="s">
        <v>52</v>
      </c>
      <c r="U17">
        <f t="shared" si="0"/>
        <v>1</v>
      </c>
      <c r="V17" t="str">
        <f t="shared" si="1"/>
        <v>MLB</v>
      </c>
      <c r="W17" t="s">
        <v>1530</v>
      </c>
    </row>
    <row r="18" spans="1:23">
      <c r="A18">
        <v>2012</v>
      </c>
      <c r="B18">
        <v>1</v>
      </c>
      <c r="C18">
        <v>17</v>
      </c>
      <c r="D18">
        <v>17</v>
      </c>
      <c r="E18" t="s">
        <v>73</v>
      </c>
      <c r="F18" t="s">
        <v>521</v>
      </c>
      <c r="G18" t="s">
        <v>2</v>
      </c>
      <c r="T18" t="s">
        <v>52</v>
      </c>
      <c r="U18">
        <f t="shared" si="0"/>
        <v>1</v>
      </c>
      <c r="V18" t="s">
        <v>14</v>
      </c>
      <c r="W18">
        <v>-9999</v>
      </c>
    </row>
    <row r="19" spans="1:23">
      <c r="A19">
        <v>2012</v>
      </c>
      <c r="B19">
        <v>1</v>
      </c>
      <c r="C19">
        <v>18</v>
      </c>
      <c r="D19">
        <v>18</v>
      </c>
      <c r="E19" t="s">
        <v>79</v>
      </c>
      <c r="F19" t="s">
        <v>522</v>
      </c>
      <c r="G19" t="s">
        <v>5</v>
      </c>
      <c r="H19">
        <v>44</v>
      </c>
      <c r="I19">
        <v>1173</v>
      </c>
      <c r="J19">
        <v>4500</v>
      </c>
      <c r="K19">
        <v>228</v>
      </c>
      <c r="L19">
        <v>0.28499999999999998</v>
      </c>
      <c r="M19">
        <v>0.86299999999999999</v>
      </c>
      <c r="T19" t="s">
        <v>52</v>
      </c>
      <c r="U19">
        <f t="shared" si="0"/>
        <v>1</v>
      </c>
      <c r="V19" t="str">
        <f t="shared" si="1"/>
        <v>MLB</v>
      </c>
      <c r="W19" t="s">
        <v>1531</v>
      </c>
    </row>
    <row r="20" spans="1:23">
      <c r="A20">
        <v>2012</v>
      </c>
      <c r="B20">
        <v>1</v>
      </c>
      <c r="C20">
        <v>19</v>
      </c>
      <c r="D20">
        <v>19</v>
      </c>
      <c r="E20" t="s">
        <v>523</v>
      </c>
      <c r="F20" t="s">
        <v>524</v>
      </c>
      <c r="G20" t="s">
        <v>8</v>
      </c>
      <c r="H20">
        <v>21</v>
      </c>
      <c r="N20">
        <v>317</v>
      </c>
      <c r="O20">
        <v>115</v>
      </c>
      <c r="P20">
        <v>77</v>
      </c>
      <c r="Q20">
        <v>3.85</v>
      </c>
      <c r="R20">
        <v>1.27</v>
      </c>
      <c r="S20">
        <v>0</v>
      </c>
      <c r="T20" t="s">
        <v>34</v>
      </c>
      <c r="U20">
        <f t="shared" si="0"/>
        <v>0</v>
      </c>
      <c r="V20" t="str">
        <f t="shared" si="1"/>
        <v>MLB</v>
      </c>
      <c r="W20" t="s">
        <v>1532</v>
      </c>
    </row>
    <row r="21" spans="1:23">
      <c r="A21">
        <v>2012</v>
      </c>
      <c r="B21">
        <v>1</v>
      </c>
      <c r="C21">
        <v>20</v>
      </c>
      <c r="D21">
        <v>20</v>
      </c>
      <c r="E21" t="s">
        <v>59</v>
      </c>
      <c r="F21" t="s">
        <v>525</v>
      </c>
      <c r="G21" t="s">
        <v>8</v>
      </c>
      <c r="H21">
        <v>0.5</v>
      </c>
      <c r="N21">
        <v>374</v>
      </c>
      <c r="O21">
        <v>41</v>
      </c>
      <c r="P21">
        <v>27</v>
      </c>
      <c r="Q21">
        <v>4.6399999999999997</v>
      </c>
      <c r="R21">
        <v>1.44</v>
      </c>
      <c r="S21">
        <v>16</v>
      </c>
      <c r="T21" t="s">
        <v>34</v>
      </c>
      <c r="U21">
        <f t="shared" si="0"/>
        <v>0</v>
      </c>
      <c r="V21" t="str">
        <f t="shared" si="1"/>
        <v>MLB</v>
      </c>
      <c r="W21" t="s">
        <v>1533</v>
      </c>
    </row>
    <row r="22" spans="1:23">
      <c r="A22">
        <v>2012</v>
      </c>
      <c r="B22">
        <v>1</v>
      </c>
      <c r="C22">
        <v>21</v>
      </c>
      <c r="D22">
        <v>21</v>
      </c>
      <c r="E22" t="s">
        <v>81</v>
      </c>
      <c r="F22" t="s">
        <v>526</v>
      </c>
      <c r="G22" t="s">
        <v>8</v>
      </c>
      <c r="H22">
        <v>2.1</v>
      </c>
      <c r="N22">
        <v>272</v>
      </c>
      <c r="O22">
        <v>23</v>
      </c>
      <c r="P22">
        <v>21</v>
      </c>
      <c r="Q22">
        <v>4.8499999999999996</v>
      </c>
      <c r="R22">
        <v>1.34</v>
      </c>
      <c r="S22">
        <v>12</v>
      </c>
      <c r="T22" t="s">
        <v>52</v>
      </c>
      <c r="U22">
        <f t="shared" si="0"/>
        <v>1</v>
      </c>
      <c r="V22" t="str">
        <f t="shared" si="1"/>
        <v>MLB</v>
      </c>
      <c r="W22" t="s">
        <v>1534</v>
      </c>
    </row>
    <row r="23" spans="1:23">
      <c r="A23">
        <v>2012</v>
      </c>
      <c r="B23">
        <v>1</v>
      </c>
      <c r="C23">
        <v>22</v>
      </c>
      <c r="D23">
        <v>22</v>
      </c>
      <c r="E23" t="s">
        <v>73</v>
      </c>
      <c r="F23" t="s">
        <v>527</v>
      </c>
      <c r="G23" t="s">
        <v>8</v>
      </c>
      <c r="H23">
        <v>21.7</v>
      </c>
      <c r="N23">
        <v>270</v>
      </c>
      <c r="O23">
        <v>90</v>
      </c>
      <c r="P23">
        <v>87</v>
      </c>
      <c r="Q23">
        <v>3.79</v>
      </c>
      <c r="R23">
        <v>1.28</v>
      </c>
      <c r="S23">
        <v>2</v>
      </c>
      <c r="T23" t="s">
        <v>34</v>
      </c>
      <c r="U23">
        <f t="shared" si="0"/>
        <v>0</v>
      </c>
      <c r="V23" t="str">
        <f t="shared" si="1"/>
        <v>MLB</v>
      </c>
      <c r="W23" t="s">
        <v>1535</v>
      </c>
    </row>
    <row r="24" spans="1:23">
      <c r="A24">
        <v>2012</v>
      </c>
      <c r="B24">
        <v>1</v>
      </c>
      <c r="C24">
        <v>23</v>
      </c>
      <c r="D24">
        <v>23</v>
      </c>
      <c r="E24" t="s">
        <v>46</v>
      </c>
      <c r="F24" t="s">
        <v>528</v>
      </c>
      <c r="G24" t="s">
        <v>2</v>
      </c>
      <c r="T24" t="s">
        <v>34</v>
      </c>
      <c r="U24">
        <f t="shared" si="0"/>
        <v>0</v>
      </c>
      <c r="V24" t="s">
        <v>12</v>
      </c>
      <c r="W24">
        <v>-9999</v>
      </c>
    </row>
    <row r="25" spans="1:23">
      <c r="A25">
        <v>2012</v>
      </c>
      <c r="B25">
        <v>1</v>
      </c>
      <c r="C25">
        <v>24</v>
      </c>
      <c r="D25">
        <v>24</v>
      </c>
      <c r="E25" t="s">
        <v>57</v>
      </c>
      <c r="F25" t="s">
        <v>529</v>
      </c>
      <c r="G25" t="s">
        <v>5</v>
      </c>
      <c r="H25">
        <v>-0.4</v>
      </c>
      <c r="I25">
        <v>178</v>
      </c>
      <c r="J25">
        <v>341</v>
      </c>
      <c r="K25">
        <v>6</v>
      </c>
      <c r="L25">
        <v>0.191</v>
      </c>
      <c r="M25">
        <v>0.52500000000000002</v>
      </c>
      <c r="T25" t="s">
        <v>34</v>
      </c>
      <c r="U25">
        <f t="shared" si="0"/>
        <v>0</v>
      </c>
      <c r="V25" t="str">
        <f t="shared" si="1"/>
        <v>MLB</v>
      </c>
      <c r="W25" t="s">
        <v>1536</v>
      </c>
    </row>
    <row r="26" spans="1:23">
      <c r="A26">
        <v>2012</v>
      </c>
      <c r="B26">
        <v>1</v>
      </c>
      <c r="C26">
        <v>25</v>
      </c>
      <c r="D26">
        <v>25</v>
      </c>
      <c r="E26" t="s">
        <v>69</v>
      </c>
      <c r="F26" t="s">
        <v>530</v>
      </c>
      <c r="G26" t="s">
        <v>11</v>
      </c>
      <c r="H26">
        <v>0.1</v>
      </c>
      <c r="I26">
        <v>51</v>
      </c>
      <c r="J26">
        <v>122</v>
      </c>
      <c r="K26">
        <v>5</v>
      </c>
      <c r="L26">
        <v>0.21299999999999999</v>
      </c>
      <c r="M26">
        <v>0.72</v>
      </c>
      <c r="T26" t="s">
        <v>34</v>
      </c>
      <c r="U26">
        <f t="shared" si="0"/>
        <v>0</v>
      </c>
      <c r="V26" t="str">
        <f t="shared" si="1"/>
        <v>MLB</v>
      </c>
      <c r="W26" t="s">
        <v>1537</v>
      </c>
    </row>
    <row r="27" spans="1:23">
      <c r="A27">
        <v>2012</v>
      </c>
      <c r="B27">
        <v>1</v>
      </c>
      <c r="C27">
        <v>26</v>
      </c>
      <c r="D27">
        <v>26</v>
      </c>
      <c r="E27" t="s">
        <v>91</v>
      </c>
      <c r="F27" t="s">
        <v>531</v>
      </c>
      <c r="G27" t="s">
        <v>6</v>
      </c>
      <c r="T27" t="s">
        <v>52</v>
      </c>
      <c r="U27">
        <f t="shared" si="0"/>
        <v>1</v>
      </c>
      <c r="V27" t="s">
        <v>14</v>
      </c>
      <c r="W27">
        <v>-9999</v>
      </c>
    </row>
    <row r="28" spans="1:23">
      <c r="A28">
        <v>2012</v>
      </c>
      <c r="B28">
        <v>1</v>
      </c>
      <c r="C28">
        <v>27</v>
      </c>
      <c r="D28">
        <v>27</v>
      </c>
      <c r="E28" t="s">
        <v>532</v>
      </c>
      <c r="F28" t="s">
        <v>533</v>
      </c>
      <c r="G28" t="s">
        <v>6</v>
      </c>
      <c r="T28" t="s">
        <v>52</v>
      </c>
      <c r="U28">
        <f t="shared" si="0"/>
        <v>1</v>
      </c>
      <c r="V28" t="s">
        <v>12</v>
      </c>
      <c r="W28">
        <v>-9999</v>
      </c>
    </row>
    <row r="29" spans="1:23">
      <c r="A29">
        <v>2012</v>
      </c>
      <c r="B29">
        <v>1</v>
      </c>
      <c r="C29">
        <v>28</v>
      </c>
      <c r="D29">
        <v>28</v>
      </c>
      <c r="E29" t="s">
        <v>67</v>
      </c>
      <c r="F29" t="s">
        <v>534</v>
      </c>
      <c r="G29" t="s">
        <v>2</v>
      </c>
      <c r="T29" t="s">
        <v>34</v>
      </c>
      <c r="U29">
        <f t="shared" si="0"/>
        <v>0</v>
      </c>
      <c r="V29" t="s">
        <v>12</v>
      </c>
      <c r="W29">
        <v>-9999</v>
      </c>
    </row>
    <row r="30" spans="1:23">
      <c r="A30">
        <v>2012</v>
      </c>
      <c r="B30">
        <v>1</v>
      </c>
      <c r="C30">
        <v>29</v>
      </c>
      <c r="D30">
        <v>29</v>
      </c>
      <c r="E30" t="s">
        <v>93</v>
      </c>
      <c r="F30" t="s">
        <v>535</v>
      </c>
      <c r="G30" t="s">
        <v>2</v>
      </c>
      <c r="H30">
        <v>-3.8</v>
      </c>
      <c r="I30">
        <v>357</v>
      </c>
      <c r="J30">
        <v>1071</v>
      </c>
      <c r="K30">
        <v>28</v>
      </c>
      <c r="L30">
        <v>0.19800000000000001</v>
      </c>
      <c r="M30">
        <v>0.57399999999999995</v>
      </c>
      <c r="T30" t="s">
        <v>52</v>
      </c>
      <c r="U30">
        <f t="shared" si="0"/>
        <v>1</v>
      </c>
      <c r="V30" t="str">
        <f t="shared" si="1"/>
        <v>MLB</v>
      </c>
      <c r="W30" t="s">
        <v>1538</v>
      </c>
    </row>
    <row r="31" spans="1:23">
      <c r="A31">
        <v>2012</v>
      </c>
      <c r="B31">
        <v>1</v>
      </c>
      <c r="C31">
        <v>30</v>
      </c>
      <c r="D31">
        <v>30</v>
      </c>
      <c r="E31" t="s">
        <v>85</v>
      </c>
      <c r="F31" t="s">
        <v>536</v>
      </c>
      <c r="G31" t="s">
        <v>8</v>
      </c>
      <c r="T31" t="s">
        <v>52</v>
      </c>
      <c r="U31">
        <f t="shared" si="0"/>
        <v>1</v>
      </c>
      <c r="V31" t="s">
        <v>1112</v>
      </c>
      <c r="W31">
        <v>-9999</v>
      </c>
    </row>
    <row r="32" spans="1:23">
      <c r="A32">
        <v>2012</v>
      </c>
      <c r="B32" t="s">
        <v>537</v>
      </c>
      <c r="C32">
        <v>31</v>
      </c>
      <c r="D32">
        <v>31</v>
      </c>
      <c r="E32" t="s">
        <v>57</v>
      </c>
      <c r="F32" t="s">
        <v>538</v>
      </c>
      <c r="G32" t="s">
        <v>9</v>
      </c>
      <c r="H32">
        <v>0.9</v>
      </c>
      <c r="N32">
        <v>65</v>
      </c>
      <c r="O32">
        <v>7</v>
      </c>
      <c r="P32">
        <v>9</v>
      </c>
      <c r="Q32">
        <v>4.74</v>
      </c>
      <c r="R32">
        <v>1.55</v>
      </c>
      <c r="S32">
        <v>0</v>
      </c>
      <c r="T32" t="s">
        <v>34</v>
      </c>
      <c r="U32">
        <f t="shared" si="0"/>
        <v>0</v>
      </c>
      <c r="V32" t="str">
        <f t="shared" si="1"/>
        <v>MLB</v>
      </c>
      <c r="W32" t="s">
        <v>1539</v>
      </c>
    </row>
    <row r="33" spans="1:23">
      <c r="A33">
        <v>2012</v>
      </c>
      <c r="B33" t="s">
        <v>537</v>
      </c>
      <c r="C33">
        <v>32</v>
      </c>
      <c r="D33">
        <v>32</v>
      </c>
      <c r="E33" t="s">
        <v>75</v>
      </c>
      <c r="F33" t="s">
        <v>539</v>
      </c>
      <c r="G33" t="s">
        <v>8</v>
      </c>
      <c r="H33">
        <v>17.100000000000001</v>
      </c>
      <c r="N33">
        <v>275</v>
      </c>
      <c r="O33">
        <v>108</v>
      </c>
      <c r="P33">
        <v>82</v>
      </c>
      <c r="Q33">
        <v>4.08</v>
      </c>
      <c r="R33">
        <v>1.24</v>
      </c>
      <c r="S33">
        <v>0</v>
      </c>
      <c r="T33" t="s">
        <v>52</v>
      </c>
      <c r="U33">
        <f t="shared" si="0"/>
        <v>1</v>
      </c>
      <c r="V33" t="str">
        <f t="shared" si="1"/>
        <v>MLB</v>
      </c>
      <c r="W33" t="s">
        <v>1540</v>
      </c>
    </row>
    <row r="34" spans="1:23">
      <c r="A34">
        <v>2012</v>
      </c>
      <c r="B34" t="s">
        <v>537</v>
      </c>
      <c r="C34">
        <v>33</v>
      </c>
      <c r="D34">
        <v>33</v>
      </c>
      <c r="E34" t="s">
        <v>83</v>
      </c>
      <c r="F34" t="s">
        <v>540</v>
      </c>
      <c r="G34" t="s">
        <v>8</v>
      </c>
      <c r="H34">
        <v>12.9</v>
      </c>
      <c r="N34">
        <v>201</v>
      </c>
      <c r="O34">
        <v>68</v>
      </c>
      <c r="P34">
        <v>67</v>
      </c>
      <c r="Q34">
        <v>4.28</v>
      </c>
      <c r="R34">
        <v>1.24</v>
      </c>
      <c r="S34">
        <v>1</v>
      </c>
      <c r="T34" t="s">
        <v>52</v>
      </c>
      <c r="U34">
        <f t="shared" si="0"/>
        <v>1</v>
      </c>
      <c r="V34" t="str">
        <f t="shared" si="1"/>
        <v>MLB</v>
      </c>
      <c r="W34" t="s">
        <v>1541</v>
      </c>
    </row>
    <row r="35" spans="1:23">
      <c r="A35">
        <v>2012</v>
      </c>
      <c r="B35" t="s">
        <v>537</v>
      </c>
      <c r="C35">
        <v>34</v>
      </c>
      <c r="D35">
        <v>34</v>
      </c>
      <c r="E35" t="s">
        <v>39</v>
      </c>
      <c r="F35" t="s">
        <v>541</v>
      </c>
      <c r="G35" t="s">
        <v>5</v>
      </c>
      <c r="H35">
        <v>2.5</v>
      </c>
      <c r="I35">
        <v>299</v>
      </c>
      <c r="J35">
        <v>801</v>
      </c>
      <c r="K35">
        <v>18</v>
      </c>
      <c r="L35">
        <v>0.22700000000000001</v>
      </c>
      <c r="M35">
        <v>0.68300000000000005</v>
      </c>
      <c r="T35" t="s">
        <v>52</v>
      </c>
      <c r="U35">
        <f t="shared" si="0"/>
        <v>1</v>
      </c>
      <c r="V35" t="str">
        <f t="shared" si="1"/>
        <v>MLB</v>
      </c>
      <c r="W35" t="s">
        <v>1542</v>
      </c>
    </row>
    <row r="36" spans="1:23">
      <c r="A36">
        <v>2012</v>
      </c>
      <c r="B36" t="s">
        <v>537</v>
      </c>
      <c r="C36">
        <v>35</v>
      </c>
      <c r="D36">
        <v>35</v>
      </c>
      <c r="E36" t="s">
        <v>71</v>
      </c>
      <c r="F36" t="s">
        <v>542</v>
      </c>
      <c r="G36" t="s">
        <v>6</v>
      </c>
      <c r="H36">
        <v>2.2999999999999998</v>
      </c>
      <c r="I36">
        <v>447</v>
      </c>
      <c r="J36">
        <v>1268</v>
      </c>
      <c r="K36">
        <v>22</v>
      </c>
      <c r="L36">
        <v>0.23499999999999999</v>
      </c>
      <c r="M36">
        <v>0.65400000000000003</v>
      </c>
      <c r="T36" t="s">
        <v>34</v>
      </c>
      <c r="U36">
        <f t="shared" si="0"/>
        <v>0</v>
      </c>
      <c r="V36" t="str">
        <f t="shared" si="1"/>
        <v>MLB</v>
      </c>
      <c r="W36" t="s">
        <v>1543</v>
      </c>
    </row>
    <row r="37" spans="1:23">
      <c r="A37">
        <v>2012</v>
      </c>
      <c r="B37" t="s">
        <v>537</v>
      </c>
      <c r="C37">
        <v>36</v>
      </c>
      <c r="D37">
        <v>36</v>
      </c>
      <c r="E37" t="s">
        <v>46</v>
      </c>
      <c r="F37" t="s">
        <v>543</v>
      </c>
      <c r="G37" t="s">
        <v>11</v>
      </c>
      <c r="H37">
        <v>7.1</v>
      </c>
      <c r="I37">
        <v>726</v>
      </c>
      <c r="J37">
        <v>2517</v>
      </c>
      <c r="K37">
        <v>93</v>
      </c>
      <c r="L37">
        <v>0.255</v>
      </c>
      <c r="M37">
        <v>0.754</v>
      </c>
      <c r="T37" t="s">
        <v>34</v>
      </c>
      <c r="U37">
        <f t="shared" si="0"/>
        <v>0</v>
      </c>
      <c r="V37" t="str">
        <f t="shared" si="1"/>
        <v>MLB</v>
      </c>
      <c r="W37" t="s">
        <v>1544</v>
      </c>
    </row>
    <row r="38" spans="1:23">
      <c r="A38">
        <v>2012</v>
      </c>
      <c r="B38" t="s">
        <v>537</v>
      </c>
      <c r="C38">
        <v>37</v>
      </c>
      <c r="D38">
        <v>37</v>
      </c>
      <c r="E38" t="s">
        <v>57</v>
      </c>
      <c r="F38" t="s">
        <v>544</v>
      </c>
      <c r="G38" t="s">
        <v>8</v>
      </c>
      <c r="H38">
        <v>-0.7</v>
      </c>
      <c r="N38">
        <v>17</v>
      </c>
      <c r="O38">
        <v>0</v>
      </c>
      <c r="P38">
        <v>1</v>
      </c>
      <c r="Q38">
        <v>11.34</v>
      </c>
      <c r="R38">
        <v>2.2799999999999998</v>
      </c>
      <c r="S38">
        <v>0</v>
      </c>
      <c r="T38" t="s">
        <v>34</v>
      </c>
      <c r="U38">
        <f t="shared" si="0"/>
        <v>0</v>
      </c>
      <c r="V38" t="str">
        <f t="shared" si="1"/>
        <v>MLB</v>
      </c>
      <c r="W38" t="s">
        <v>1545</v>
      </c>
    </row>
    <row r="39" spans="1:23">
      <c r="A39">
        <v>2012</v>
      </c>
      <c r="B39" t="s">
        <v>537</v>
      </c>
      <c r="C39">
        <v>38</v>
      </c>
      <c r="D39">
        <v>38</v>
      </c>
      <c r="E39" t="s">
        <v>67</v>
      </c>
      <c r="F39" t="s">
        <v>545</v>
      </c>
      <c r="G39" t="s">
        <v>2</v>
      </c>
      <c r="H39">
        <v>14.7</v>
      </c>
      <c r="I39">
        <v>746</v>
      </c>
      <c r="J39">
        <v>2755</v>
      </c>
      <c r="K39">
        <v>130</v>
      </c>
      <c r="L39">
        <v>0.25</v>
      </c>
      <c r="M39">
        <v>0.77100000000000002</v>
      </c>
      <c r="T39" t="s">
        <v>34</v>
      </c>
      <c r="U39">
        <f t="shared" si="0"/>
        <v>0</v>
      </c>
      <c r="V39" t="str">
        <f t="shared" si="1"/>
        <v>MLB</v>
      </c>
      <c r="W39" t="s">
        <v>1546</v>
      </c>
    </row>
    <row r="40" spans="1:23">
      <c r="A40">
        <v>2012</v>
      </c>
      <c r="B40" t="s">
        <v>537</v>
      </c>
      <c r="C40">
        <v>39</v>
      </c>
      <c r="D40">
        <v>39</v>
      </c>
      <c r="E40" t="s">
        <v>93</v>
      </c>
      <c r="F40" t="s">
        <v>546</v>
      </c>
      <c r="G40" t="s">
        <v>11</v>
      </c>
      <c r="H40">
        <v>15.5</v>
      </c>
      <c r="I40">
        <v>939</v>
      </c>
      <c r="J40">
        <v>2869</v>
      </c>
      <c r="K40">
        <v>208</v>
      </c>
      <c r="L40">
        <v>0.19400000000000001</v>
      </c>
      <c r="M40">
        <v>0.77500000000000002</v>
      </c>
      <c r="T40" t="s">
        <v>52</v>
      </c>
      <c r="U40">
        <f t="shared" si="0"/>
        <v>1</v>
      </c>
      <c r="V40" t="str">
        <f t="shared" si="1"/>
        <v>MLB</v>
      </c>
      <c r="W40" t="s">
        <v>1547</v>
      </c>
    </row>
    <row r="41" spans="1:23">
      <c r="A41">
        <v>2012</v>
      </c>
      <c r="B41" t="s">
        <v>537</v>
      </c>
      <c r="C41">
        <v>40</v>
      </c>
      <c r="D41">
        <v>40</v>
      </c>
      <c r="E41" t="s">
        <v>87</v>
      </c>
      <c r="F41" t="s">
        <v>547</v>
      </c>
      <c r="G41" t="s">
        <v>8</v>
      </c>
      <c r="T41" t="s">
        <v>52</v>
      </c>
      <c r="U41">
        <f t="shared" si="0"/>
        <v>1</v>
      </c>
      <c r="V41" t="s">
        <v>13</v>
      </c>
      <c r="W41">
        <v>-9999</v>
      </c>
    </row>
    <row r="42" spans="1:23">
      <c r="A42">
        <v>2012</v>
      </c>
      <c r="B42" t="s">
        <v>537</v>
      </c>
      <c r="C42">
        <v>41</v>
      </c>
      <c r="D42">
        <v>41</v>
      </c>
      <c r="E42" t="s">
        <v>89</v>
      </c>
      <c r="F42" t="s">
        <v>548</v>
      </c>
      <c r="G42" t="s">
        <v>8</v>
      </c>
      <c r="H42">
        <v>9.1999999999999993</v>
      </c>
      <c r="N42">
        <v>154</v>
      </c>
      <c r="O42">
        <v>53</v>
      </c>
      <c r="P42">
        <v>40</v>
      </c>
      <c r="Q42">
        <v>3.85</v>
      </c>
      <c r="R42">
        <v>1.3</v>
      </c>
      <c r="S42">
        <v>0</v>
      </c>
      <c r="T42" t="s">
        <v>52</v>
      </c>
      <c r="U42">
        <f t="shared" si="0"/>
        <v>1</v>
      </c>
      <c r="V42" t="str">
        <f t="shared" si="1"/>
        <v>MLB</v>
      </c>
      <c r="W42" t="s">
        <v>1548</v>
      </c>
    </row>
    <row r="43" spans="1:23">
      <c r="A43">
        <v>2012</v>
      </c>
      <c r="B43" t="s">
        <v>537</v>
      </c>
      <c r="C43">
        <v>42</v>
      </c>
      <c r="D43">
        <v>42</v>
      </c>
      <c r="E43" t="s">
        <v>75</v>
      </c>
      <c r="F43" t="s">
        <v>549</v>
      </c>
      <c r="G43" t="s">
        <v>8</v>
      </c>
      <c r="H43">
        <v>0.8</v>
      </c>
      <c r="N43">
        <v>55</v>
      </c>
      <c r="O43">
        <v>4</v>
      </c>
      <c r="P43">
        <v>4</v>
      </c>
      <c r="Q43">
        <v>4.4400000000000004</v>
      </c>
      <c r="R43">
        <v>1.1100000000000001</v>
      </c>
      <c r="S43">
        <v>0</v>
      </c>
      <c r="T43" t="s">
        <v>34</v>
      </c>
      <c r="U43">
        <f t="shared" si="0"/>
        <v>0</v>
      </c>
      <c r="V43" t="str">
        <f t="shared" si="1"/>
        <v>MLB</v>
      </c>
      <c r="W43" t="s">
        <v>1549</v>
      </c>
    </row>
    <row r="44" spans="1:23">
      <c r="A44">
        <v>2012</v>
      </c>
      <c r="B44" t="s">
        <v>537</v>
      </c>
      <c r="C44">
        <v>43</v>
      </c>
      <c r="D44">
        <v>43</v>
      </c>
      <c r="E44" t="s">
        <v>61</v>
      </c>
      <c r="F44" t="s">
        <v>550</v>
      </c>
      <c r="G44" t="s">
        <v>8</v>
      </c>
      <c r="H44">
        <v>3.4</v>
      </c>
      <c r="N44">
        <v>349</v>
      </c>
      <c r="O44">
        <v>22</v>
      </c>
      <c r="P44">
        <v>25</v>
      </c>
      <c r="Q44">
        <v>3.79</v>
      </c>
      <c r="R44">
        <v>1.33</v>
      </c>
      <c r="S44">
        <v>17</v>
      </c>
      <c r="T44" t="s">
        <v>34</v>
      </c>
      <c r="U44">
        <f t="shared" si="0"/>
        <v>0</v>
      </c>
      <c r="V44" t="str">
        <f t="shared" si="1"/>
        <v>MLB</v>
      </c>
      <c r="W44" t="s">
        <v>1550</v>
      </c>
    </row>
    <row r="45" spans="1:23">
      <c r="A45">
        <v>2012</v>
      </c>
      <c r="B45" t="s">
        <v>537</v>
      </c>
      <c r="C45">
        <v>44</v>
      </c>
      <c r="D45">
        <v>44</v>
      </c>
      <c r="E45" t="s">
        <v>83</v>
      </c>
      <c r="F45" t="s">
        <v>551</v>
      </c>
      <c r="G45" t="s">
        <v>2</v>
      </c>
      <c r="H45">
        <v>4.0999999999999996</v>
      </c>
      <c r="I45">
        <v>706</v>
      </c>
      <c r="J45">
        <v>1552</v>
      </c>
      <c r="K45">
        <v>11</v>
      </c>
      <c r="L45">
        <v>0.23599999999999999</v>
      </c>
      <c r="M45">
        <v>0.623</v>
      </c>
      <c r="T45" t="s">
        <v>34</v>
      </c>
      <c r="U45">
        <f t="shared" si="0"/>
        <v>0</v>
      </c>
      <c r="V45" t="str">
        <f t="shared" si="1"/>
        <v>MLB</v>
      </c>
      <c r="W45" t="s">
        <v>1551</v>
      </c>
    </row>
    <row r="46" spans="1:23">
      <c r="A46">
        <v>2012</v>
      </c>
      <c r="B46" t="s">
        <v>537</v>
      </c>
      <c r="C46">
        <v>45</v>
      </c>
      <c r="D46">
        <v>45</v>
      </c>
      <c r="E46" t="s">
        <v>50</v>
      </c>
      <c r="F46" t="s">
        <v>552</v>
      </c>
      <c r="G46" t="s">
        <v>2</v>
      </c>
      <c r="T46" t="s">
        <v>34</v>
      </c>
      <c r="U46">
        <f t="shared" si="0"/>
        <v>0</v>
      </c>
      <c r="V46" t="s">
        <v>12</v>
      </c>
      <c r="W46">
        <v>-9999</v>
      </c>
    </row>
    <row r="47" spans="1:23">
      <c r="A47">
        <v>2012</v>
      </c>
      <c r="B47" t="s">
        <v>537</v>
      </c>
      <c r="C47">
        <v>46</v>
      </c>
      <c r="D47">
        <v>46</v>
      </c>
      <c r="E47" t="s">
        <v>37</v>
      </c>
      <c r="F47" t="s">
        <v>553</v>
      </c>
      <c r="G47" t="s">
        <v>8</v>
      </c>
      <c r="H47">
        <v>-2.2999999999999998</v>
      </c>
      <c r="N47">
        <v>79</v>
      </c>
      <c r="O47">
        <v>12</v>
      </c>
      <c r="P47">
        <v>22</v>
      </c>
      <c r="Q47">
        <v>5.8</v>
      </c>
      <c r="R47">
        <v>1.66</v>
      </c>
      <c r="S47">
        <v>2</v>
      </c>
      <c r="T47" t="s">
        <v>34</v>
      </c>
      <c r="U47">
        <f t="shared" si="0"/>
        <v>0</v>
      </c>
      <c r="V47" t="str">
        <f t="shared" si="1"/>
        <v>MLB</v>
      </c>
      <c r="W47" t="s">
        <v>1552</v>
      </c>
    </row>
    <row r="48" spans="1:23">
      <c r="A48">
        <v>2012</v>
      </c>
      <c r="B48" t="s">
        <v>537</v>
      </c>
      <c r="C48">
        <v>47</v>
      </c>
      <c r="D48">
        <v>47</v>
      </c>
      <c r="E48" t="s">
        <v>39</v>
      </c>
      <c r="F48" t="s">
        <v>554</v>
      </c>
      <c r="G48" t="s">
        <v>3</v>
      </c>
      <c r="H48">
        <v>42.2</v>
      </c>
      <c r="I48">
        <v>1266</v>
      </c>
      <c r="J48">
        <v>4662</v>
      </c>
      <c r="K48">
        <v>302</v>
      </c>
      <c r="L48">
        <v>0.25800000000000001</v>
      </c>
      <c r="M48">
        <v>0.86399999999999999</v>
      </c>
      <c r="T48" t="s">
        <v>52</v>
      </c>
      <c r="U48">
        <f t="shared" si="0"/>
        <v>1</v>
      </c>
      <c r="V48" t="str">
        <f t="shared" si="1"/>
        <v>MLB</v>
      </c>
      <c r="W48" t="s">
        <v>1553</v>
      </c>
    </row>
    <row r="49" spans="1:23">
      <c r="A49">
        <v>2012</v>
      </c>
      <c r="B49" t="s">
        <v>537</v>
      </c>
      <c r="C49">
        <v>48</v>
      </c>
      <c r="D49">
        <v>48</v>
      </c>
      <c r="E49" t="s">
        <v>41</v>
      </c>
      <c r="F49" t="s">
        <v>555</v>
      </c>
      <c r="G49" t="s">
        <v>3</v>
      </c>
      <c r="T49" t="s">
        <v>52</v>
      </c>
      <c r="U49">
        <f t="shared" si="0"/>
        <v>1</v>
      </c>
      <c r="V49" t="s">
        <v>13</v>
      </c>
      <c r="W49">
        <v>-9999</v>
      </c>
    </row>
    <row r="50" spans="1:23">
      <c r="A50">
        <v>2012</v>
      </c>
      <c r="B50" t="s">
        <v>537</v>
      </c>
      <c r="C50">
        <v>49</v>
      </c>
      <c r="D50">
        <v>49</v>
      </c>
      <c r="E50" t="s">
        <v>35</v>
      </c>
      <c r="F50" t="s">
        <v>556</v>
      </c>
      <c r="G50" t="s">
        <v>4</v>
      </c>
      <c r="H50">
        <v>6.4</v>
      </c>
      <c r="I50">
        <v>781</v>
      </c>
      <c r="J50">
        <v>2434</v>
      </c>
      <c r="K50">
        <v>96</v>
      </c>
      <c r="L50">
        <v>0.26100000000000001</v>
      </c>
      <c r="M50">
        <v>0.80200000000000005</v>
      </c>
      <c r="T50" t="s">
        <v>52</v>
      </c>
      <c r="U50">
        <f t="shared" si="0"/>
        <v>1</v>
      </c>
      <c r="V50" t="str">
        <f t="shared" si="1"/>
        <v>MLB</v>
      </c>
      <c r="W50" t="s">
        <v>1554</v>
      </c>
    </row>
    <row r="51" spans="1:23">
      <c r="A51">
        <v>2012</v>
      </c>
      <c r="B51" t="s">
        <v>537</v>
      </c>
      <c r="C51">
        <v>50</v>
      </c>
      <c r="D51">
        <v>50</v>
      </c>
      <c r="E51" t="s">
        <v>73</v>
      </c>
      <c r="F51" t="s">
        <v>557</v>
      </c>
      <c r="G51" t="s">
        <v>9</v>
      </c>
      <c r="T51" t="s">
        <v>52</v>
      </c>
      <c r="U51">
        <f t="shared" si="0"/>
        <v>1</v>
      </c>
      <c r="V51" t="s">
        <v>1114</v>
      </c>
      <c r="W51">
        <v>-9999</v>
      </c>
    </row>
    <row r="52" spans="1:23">
      <c r="W52" t="s">
        <v>1555</v>
      </c>
    </row>
    <row r="53" spans="1:23">
      <c r="W53" t="s">
        <v>1556</v>
      </c>
    </row>
    <row r="54" spans="1:23">
      <c r="W54" t="s">
        <v>1557</v>
      </c>
    </row>
    <row r="55" spans="1:23">
      <c r="W55">
        <v>-9999</v>
      </c>
    </row>
    <row r="56" spans="1:23">
      <c r="W56">
        <v>-9999</v>
      </c>
    </row>
    <row r="57" spans="1:23">
      <c r="W57" t="s">
        <v>1558</v>
      </c>
    </row>
    <row r="58" spans="1:23">
      <c r="W58">
        <v>-9999</v>
      </c>
    </row>
    <row r="59" spans="1:23">
      <c r="W59">
        <v>-9999</v>
      </c>
    </row>
    <row r="60" spans="1:23">
      <c r="W60">
        <v>-9999</v>
      </c>
    </row>
    <row r="61" spans="1:23">
      <c r="W61">
        <v>-9999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051D-63DF-4AA5-8DA4-F5C75DF088F8}">
  <dimension ref="A1:W40"/>
  <sheetViews>
    <sheetView workbookViewId="0">
      <selection activeCell="W1" sqref="W1"/>
    </sheetView>
  </sheetViews>
  <sheetFormatPr defaultColWidth="8.6328125" defaultRowHeight="14.5"/>
  <cols>
    <col min="1" max="1" width="4.81640625" bestFit="1" customWidth="1"/>
    <col min="2" max="2" width="3.90625" bestFit="1" customWidth="1"/>
    <col min="3" max="3" width="6" bestFit="1" customWidth="1"/>
    <col min="4" max="4" width="5.90625" bestFit="1" customWidth="1"/>
    <col min="5" max="5" width="18.54296875" bestFit="1" customWidth="1"/>
    <col min="6" max="6" width="23.26953125" bestFit="1" customWidth="1"/>
    <col min="7" max="7" width="4.26953125" bestFit="1" customWidth="1"/>
    <col min="8" max="10" width="4.81640625" bestFit="1" customWidth="1"/>
    <col min="11" max="11" width="3.81640625" bestFit="1" customWidth="1"/>
    <col min="12" max="13" width="5.81640625" bestFit="1" customWidth="1"/>
    <col min="14" max="14" width="3.81640625" bestFit="1" customWidth="1"/>
    <col min="15" max="16" width="2.81640625" bestFit="1" customWidth="1"/>
    <col min="17" max="17" width="4.81640625" bestFit="1" customWidth="1"/>
    <col min="18" max="18" width="5.26953125" bestFit="1" customWidth="1"/>
    <col min="19" max="19" width="2.90625" bestFit="1" customWidth="1"/>
    <col min="20" max="20" width="4.54296875" bestFit="1" customWidth="1"/>
    <col min="21" max="21" width="4" bestFit="1" customWidth="1"/>
  </cols>
  <sheetData>
    <row r="1" spans="1:23">
      <c r="A1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>
        <v>2013</v>
      </c>
      <c r="B2">
        <v>1</v>
      </c>
      <c r="C2">
        <v>1</v>
      </c>
      <c r="D2">
        <v>1</v>
      </c>
      <c r="E2" t="s">
        <v>89</v>
      </c>
      <c r="F2" t="s">
        <v>462</v>
      </c>
      <c r="G2" t="s">
        <v>8</v>
      </c>
      <c r="H2">
        <v>0.3</v>
      </c>
      <c r="N2">
        <v>6</v>
      </c>
      <c r="O2">
        <v>0</v>
      </c>
      <c r="P2">
        <v>0</v>
      </c>
      <c r="Q2">
        <v>1.74</v>
      </c>
      <c r="R2">
        <v>1.1599999999999999</v>
      </c>
      <c r="S2">
        <v>0</v>
      </c>
      <c r="T2" t="s">
        <v>34</v>
      </c>
      <c r="U2">
        <f>IF(ISNUMBER(SEARCH("HS",T2)),1,0)</f>
        <v>0</v>
      </c>
      <c r="V2" t="str">
        <f>IF(ISNUMBER(H2),"MLB","")</f>
        <v>MLB</v>
      </c>
      <c r="W2" t="s">
        <v>1524</v>
      </c>
    </row>
    <row r="3" spans="1:23">
      <c r="A3">
        <v>2013</v>
      </c>
      <c r="B3">
        <v>1</v>
      </c>
      <c r="C3">
        <v>2</v>
      </c>
      <c r="D3">
        <v>2</v>
      </c>
      <c r="E3" t="s">
        <v>61</v>
      </c>
      <c r="F3" t="s">
        <v>463</v>
      </c>
      <c r="G3" t="s">
        <v>11</v>
      </c>
      <c r="H3">
        <v>27.3</v>
      </c>
      <c r="I3">
        <v>1054</v>
      </c>
      <c r="J3">
        <v>3919</v>
      </c>
      <c r="K3">
        <v>184</v>
      </c>
      <c r="L3">
        <v>0.27300000000000002</v>
      </c>
      <c r="M3">
        <v>0.85099999999999998</v>
      </c>
      <c r="T3" t="s">
        <v>34</v>
      </c>
      <c r="U3">
        <f t="shared" ref="U3:U40" si="0">IF(ISNUMBER(SEARCH("HS",T3)),1,0)</f>
        <v>0</v>
      </c>
      <c r="V3" t="str">
        <f t="shared" ref="V3:V40" si="1">IF(ISNUMBER(H3),"MLB","")</f>
        <v>MLB</v>
      </c>
      <c r="W3" t="s">
        <v>1559</v>
      </c>
    </row>
    <row r="4" spans="1:23">
      <c r="A4">
        <v>2013</v>
      </c>
      <c r="B4">
        <v>1</v>
      </c>
      <c r="C4">
        <v>3</v>
      </c>
      <c r="D4">
        <v>3</v>
      </c>
      <c r="E4" t="s">
        <v>37</v>
      </c>
      <c r="F4" t="s">
        <v>464</v>
      </c>
      <c r="G4" t="s">
        <v>8</v>
      </c>
      <c r="H4">
        <v>12.9</v>
      </c>
      <c r="N4">
        <v>234</v>
      </c>
      <c r="O4">
        <v>75</v>
      </c>
      <c r="P4">
        <v>71</v>
      </c>
      <c r="Q4">
        <v>4.49</v>
      </c>
      <c r="R4">
        <v>1.31</v>
      </c>
      <c r="S4">
        <v>0</v>
      </c>
      <c r="T4" t="s">
        <v>34</v>
      </c>
      <c r="U4">
        <f t="shared" si="0"/>
        <v>0</v>
      </c>
      <c r="V4" t="str">
        <f t="shared" si="1"/>
        <v>MLB</v>
      </c>
      <c r="W4" t="s">
        <v>1560</v>
      </c>
    </row>
    <row r="5" spans="1:23">
      <c r="A5">
        <v>2013</v>
      </c>
      <c r="B5">
        <v>1</v>
      </c>
      <c r="C5">
        <v>4</v>
      </c>
      <c r="D5">
        <v>4</v>
      </c>
      <c r="E5" t="s">
        <v>75</v>
      </c>
      <c r="F5" t="s">
        <v>465</v>
      </c>
      <c r="G5" t="s">
        <v>8</v>
      </c>
      <c r="H5">
        <v>0.2</v>
      </c>
      <c r="N5">
        <v>21</v>
      </c>
      <c r="O5">
        <v>5</v>
      </c>
      <c r="P5">
        <v>4</v>
      </c>
      <c r="Q5">
        <v>4.88</v>
      </c>
      <c r="R5">
        <v>1.48</v>
      </c>
      <c r="S5">
        <v>0</v>
      </c>
      <c r="T5" t="s">
        <v>52</v>
      </c>
      <c r="U5">
        <f t="shared" si="0"/>
        <v>1</v>
      </c>
      <c r="V5" t="str">
        <f t="shared" si="1"/>
        <v>MLB</v>
      </c>
      <c r="W5" t="s">
        <v>1561</v>
      </c>
    </row>
    <row r="6" spans="1:23">
      <c r="A6">
        <v>2013</v>
      </c>
      <c r="B6">
        <v>1</v>
      </c>
      <c r="C6">
        <v>5</v>
      </c>
      <c r="D6">
        <v>5</v>
      </c>
      <c r="E6" t="s">
        <v>206</v>
      </c>
      <c r="F6" t="s">
        <v>466</v>
      </c>
      <c r="G6" t="s">
        <v>11</v>
      </c>
      <c r="H6">
        <v>-0.3</v>
      </c>
      <c r="I6">
        <v>280</v>
      </c>
      <c r="J6">
        <v>810</v>
      </c>
      <c r="K6">
        <v>29</v>
      </c>
      <c r="L6">
        <v>0.23499999999999999</v>
      </c>
      <c r="M6">
        <v>0.73899999999999999</v>
      </c>
      <c r="T6" t="s">
        <v>52</v>
      </c>
      <c r="U6">
        <f t="shared" si="0"/>
        <v>1</v>
      </c>
      <c r="V6" t="str">
        <f t="shared" si="1"/>
        <v>MLB</v>
      </c>
      <c r="W6" t="s">
        <v>1562</v>
      </c>
    </row>
    <row r="7" spans="1:23">
      <c r="A7">
        <v>2013</v>
      </c>
      <c r="B7">
        <v>1</v>
      </c>
      <c r="C7">
        <v>6</v>
      </c>
      <c r="D7">
        <v>6</v>
      </c>
      <c r="E7" t="s">
        <v>65</v>
      </c>
      <c r="F7" t="s">
        <v>467</v>
      </c>
      <c r="G7" t="s">
        <v>11</v>
      </c>
      <c r="H7">
        <v>-0.2</v>
      </c>
      <c r="I7">
        <v>502</v>
      </c>
      <c r="J7">
        <v>1520</v>
      </c>
      <c r="K7">
        <v>50</v>
      </c>
      <c r="L7">
        <v>0.26300000000000001</v>
      </c>
      <c r="M7">
        <v>0.74299999999999999</v>
      </c>
      <c r="T7" t="s">
        <v>34</v>
      </c>
      <c r="U7">
        <f t="shared" si="0"/>
        <v>0</v>
      </c>
      <c r="V7" t="str">
        <f t="shared" si="1"/>
        <v>MLB</v>
      </c>
      <c r="W7" t="s">
        <v>1563</v>
      </c>
    </row>
    <row r="8" spans="1:23">
      <c r="A8">
        <v>2013</v>
      </c>
      <c r="B8">
        <v>1</v>
      </c>
      <c r="C8">
        <v>7</v>
      </c>
      <c r="D8">
        <v>7</v>
      </c>
      <c r="E8" t="s">
        <v>57</v>
      </c>
      <c r="F8" t="s">
        <v>468</v>
      </c>
      <c r="G8" t="s">
        <v>9</v>
      </c>
      <c r="T8" t="s">
        <v>52</v>
      </c>
      <c r="U8">
        <f t="shared" si="0"/>
        <v>1</v>
      </c>
      <c r="V8" t="s">
        <v>13</v>
      </c>
      <c r="W8">
        <v>-9999</v>
      </c>
    </row>
    <row r="9" spans="1:23">
      <c r="A9">
        <v>2013</v>
      </c>
      <c r="B9">
        <v>1</v>
      </c>
      <c r="C9">
        <v>8</v>
      </c>
      <c r="D9">
        <v>8</v>
      </c>
      <c r="E9" t="s">
        <v>43</v>
      </c>
      <c r="F9" t="s">
        <v>469</v>
      </c>
      <c r="G9" t="s">
        <v>5</v>
      </c>
      <c r="H9">
        <v>-2.9</v>
      </c>
      <c r="I9">
        <v>594</v>
      </c>
      <c r="J9">
        <v>2093</v>
      </c>
      <c r="K9">
        <v>73</v>
      </c>
      <c r="L9">
        <v>0.23799999999999999</v>
      </c>
      <c r="M9">
        <v>0.72499999999999998</v>
      </c>
      <c r="T9" t="s">
        <v>34</v>
      </c>
      <c r="U9">
        <f t="shared" si="0"/>
        <v>0</v>
      </c>
      <c r="V9" t="str">
        <f t="shared" si="1"/>
        <v>MLB</v>
      </c>
      <c r="W9" t="s">
        <v>1564</v>
      </c>
    </row>
    <row r="10" spans="1:23">
      <c r="A10">
        <v>2013</v>
      </c>
      <c r="B10">
        <v>1</v>
      </c>
      <c r="C10">
        <v>9</v>
      </c>
      <c r="D10">
        <v>9</v>
      </c>
      <c r="E10" t="s">
        <v>50</v>
      </c>
      <c r="F10" t="s">
        <v>470</v>
      </c>
      <c r="G10" t="s">
        <v>237</v>
      </c>
      <c r="H10">
        <v>6.4</v>
      </c>
      <c r="I10">
        <v>417</v>
      </c>
      <c r="J10">
        <v>1507</v>
      </c>
      <c r="K10">
        <v>70</v>
      </c>
      <c r="L10">
        <v>0.25900000000000001</v>
      </c>
      <c r="M10">
        <v>0.80600000000000005</v>
      </c>
      <c r="T10" t="s">
        <v>52</v>
      </c>
      <c r="U10">
        <f t="shared" si="0"/>
        <v>1</v>
      </c>
      <c r="V10" t="str">
        <f t="shared" si="1"/>
        <v>MLB</v>
      </c>
      <c r="W10" t="s">
        <v>1565</v>
      </c>
    </row>
    <row r="11" spans="1:23">
      <c r="A11">
        <v>2013</v>
      </c>
      <c r="B11">
        <v>1</v>
      </c>
      <c r="C11">
        <v>10</v>
      </c>
      <c r="D11">
        <v>10</v>
      </c>
      <c r="E11" t="s">
        <v>73</v>
      </c>
      <c r="F11" t="s">
        <v>397</v>
      </c>
      <c r="G11" t="s">
        <v>8</v>
      </c>
      <c r="H11">
        <v>0.3</v>
      </c>
      <c r="N11">
        <v>187</v>
      </c>
      <c r="O11">
        <v>11</v>
      </c>
      <c r="P11">
        <v>8</v>
      </c>
      <c r="Q11">
        <v>4.62</v>
      </c>
      <c r="R11">
        <v>1.24</v>
      </c>
      <c r="S11">
        <v>2</v>
      </c>
      <c r="T11" t="s">
        <v>52</v>
      </c>
      <c r="U11">
        <f t="shared" si="0"/>
        <v>1</v>
      </c>
      <c r="V11" t="str">
        <f t="shared" si="1"/>
        <v>MLB</v>
      </c>
      <c r="W11" t="s">
        <v>1566</v>
      </c>
    </row>
    <row r="12" spans="1:23">
      <c r="A12">
        <v>2013</v>
      </c>
      <c r="B12">
        <v>1</v>
      </c>
      <c r="C12">
        <v>11</v>
      </c>
      <c r="D12">
        <v>11</v>
      </c>
      <c r="E12" t="s">
        <v>71</v>
      </c>
      <c r="F12" t="s">
        <v>471</v>
      </c>
      <c r="G12" t="s">
        <v>3</v>
      </c>
      <c r="H12">
        <v>2.1</v>
      </c>
      <c r="I12">
        <v>789</v>
      </c>
      <c r="J12">
        <v>2331</v>
      </c>
      <c r="K12">
        <v>73</v>
      </c>
      <c r="L12">
        <v>0.254</v>
      </c>
      <c r="M12">
        <v>0.72699999999999998</v>
      </c>
      <c r="T12" t="s">
        <v>52</v>
      </c>
      <c r="U12">
        <f t="shared" si="0"/>
        <v>1</v>
      </c>
      <c r="V12" t="str">
        <f t="shared" si="1"/>
        <v>MLB</v>
      </c>
      <c r="W12" t="s">
        <v>1567</v>
      </c>
    </row>
    <row r="13" spans="1:23">
      <c r="A13">
        <v>2013</v>
      </c>
      <c r="B13">
        <v>1</v>
      </c>
      <c r="C13">
        <v>12</v>
      </c>
      <c r="D13">
        <v>12</v>
      </c>
      <c r="E13" t="s">
        <v>63</v>
      </c>
      <c r="F13" t="s">
        <v>472</v>
      </c>
      <c r="G13" t="s">
        <v>11</v>
      </c>
      <c r="T13" t="s">
        <v>34</v>
      </c>
      <c r="U13">
        <f t="shared" si="0"/>
        <v>0</v>
      </c>
      <c r="V13" t="s">
        <v>12</v>
      </c>
      <c r="W13">
        <v>-9999</v>
      </c>
    </row>
    <row r="14" spans="1:23">
      <c r="A14">
        <v>2013</v>
      </c>
      <c r="B14">
        <v>1</v>
      </c>
      <c r="C14">
        <v>13</v>
      </c>
      <c r="D14">
        <v>13</v>
      </c>
      <c r="E14" t="s">
        <v>83</v>
      </c>
      <c r="F14" t="s">
        <v>473</v>
      </c>
      <c r="G14" t="s">
        <v>4</v>
      </c>
      <c r="H14">
        <v>8.9</v>
      </c>
      <c r="I14">
        <v>996</v>
      </c>
      <c r="J14">
        <v>3422</v>
      </c>
      <c r="K14">
        <v>192</v>
      </c>
      <c r="L14">
        <v>0.23599999999999999</v>
      </c>
      <c r="M14">
        <v>0.75900000000000001</v>
      </c>
      <c r="T14" t="s">
        <v>34</v>
      </c>
      <c r="U14">
        <f t="shared" si="0"/>
        <v>0</v>
      </c>
      <c r="V14" t="str">
        <f t="shared" si="1"/>
        <v>MLB</v>
      </c>
      <c r="W14" t="s">
        <v>1568</v>
      </c>
    </row>
    <row r="15" spans="1:23">
      <c r="A15">
        <v>2013</v>
      </c>
      <c r="B15">
        <v>1</v>
      </c>
      <c r="C15">
        <v>14</v>
      </c>
      <c r="D15">
        <v>14</v>
      </c>
      <c r="E15" t="s">
        <v>50</v>
      </c>
      <c r="F15" t="s">
        <v>474</v>
      </c>
      <c r="G15" t="s">
        <v>6</v>
      </c>
      <c r="H15">
        <v>1.8</v>
      </c>
      <c r="I15">
        <v>410</v>
      </c>
      <c r="J15">
        <v>1104</v>
      </c>
      <c r="K15">
        <v>25</v>
      </c>
      <c r="L15">
        <v>0.246</v>
      </c>
      <c r="M15">
        <v>0.66100000000000003</v>
      </c>
      <c r="T15" t="s">
        <v>52</v>
      </c>
      <c r="U15">
        <f t="shared" si="0"/>
        <v>1</v>
      </c>
      <c r="V15" t="str">
        <f t="shared" si="1"/>
        <v>MLB</v>
      </c>
      <c r="W15" t="s">
        <v>1569</v>
      </c>
    </row>
    <row r="16" spans="1:23">
      <c r="A16">
        <v>2013</v>
      </c>
      <c r="B16">
        <v>1</v>
      </c>
      <c r="C16">
        <v>15</v>
      </c>
      <c r="D16">
        <v>15</v>
      </c>
      <c r="E16" t="s">
        <v>91</v>
      </c>
      <c r="F16" t="s">
        <v>475</v>
      </c>
      <c r="G16" t="s">
        <v>8</v>
      </c>
      <c r="H16">
        <v>-0.2</v>
      </c>
      <c r="N16">
        <v>26</v>
      </c>
      <c r="O16">
        <v>4</v>
      </c>
      <c r="P16">
        <v>6</v>
      </c>
      <c r="Q16">
        <v>5.49</v>
      </c>
      <c r="R16">
        <v>1.6</v>
      </c>
      <c r="S16">
        <v>0</v>
      </c>
      <c r="T16" t="s">
        <v>34</v>
      </c>
      <c r="U16">
        <f t="shared" si="0"/>
        <v>0</v>
      </c>
      <c r="V16" t="str">
        <f t="shared" si="1"/>
        <v>MLB</v>
      </c>
      <c r="W16" t="s">
        <v>1570</v>
      </c>
    </row>
    <row r="17" spans="1:23">
      <c r="A17">
        <v>2013</v>
      </c>
      <c r="B17">
        <v>1</v>
      </c>
      <c r="C17">
        <v>16</v>
      </c>
      <c r="D17">
        <v>16</v>
      </c>
      <c r="E17" t="s">
        <v>87</v>
      </c>
      <c r="F17" t="s">
        <v>476</v>
      </c>
      <c r="G17" t="s">
        <v>5</v>
      </c>
      <c r="H17">
        <v>22.3</v>
      </c>
      <c r="I17">
        <v>966</v>
      </c>
      <c r="J17">
        <v>3494</v>
      </c>
      <c r="K17">
        <v>72</v>
      </c>
      <c r="L17">
        <v>0.247</v>
      </c>
      <c r="M17">
        <v>0.70899999999999996</v>
      </c>
      <c r="T17" t="s">
        <v>52</v>
      </c>
      <c r="U17">
        <f t="shared" si="0"/>
        <v>1</v>
      </c>
      <c r="V17" t="str">
        <f t="shared" si="1"/>
        <v>MLB</v>
      </c>
      <c r="W17" t="s">
        <v>1571</v>
      </c>
    </row>
    <row r="18" spans="1:23">
      <c r="A18">
        <v>2013</v>
      </c>
      <c r="B18">
        <v>1</v>
      </c>
      <c r="C18">
        <v>17</v>
      </c>
      <c r="D18">
        <v>17</v>
      </c>
      <c r="E18" t="s">
        <v>41</v>
      </c>
      <c r="F18" t="s">
        <v>477</v>
      </c>
      <c r="G18" t="s">
        <v>5</v>
      </c>
      <c r="H18">
        <v>15.4</v>
      </c>
      <c r="I18">
        <v>991</v>
      </c>
      <c r="J18">
        <v>3939</v>
      </c>
      <c r="K18">
        <v>98</v>
      </c>
      <c r="L18">
        <v>0.27600000000000002</v>
      </c>
      <c r="M18">
        <v>0.71399999999999997</v>
      </c>
      <c r="T18" t="s">
        <v>163</v>
      </c>
      <c r="U18">
        <f t="shared" si="0"/>
        <v>0</v>
      </c>
      <c r="V18" t="str">
        <f t="shared" si="1"/>
        <v>MLB</v>
      </c>
      <c r="W18" t="s">
        <v>1572</v>
      </c>
    </row>
    <row r="19" spans="1:23">
      <c r="A19">
        <v>2013</v>
      </c>
      <c r="B19">
        <v>1</v>
      </c>
      <c r="C19">
        <v>18</v>
      </c>
      <c r="D19">
        <v>18</v>
      </c>
      <c r="E19" t="s">
        <v>79</v>
      </c>
      <c r="F19" t="s">
        <v>478</v>
      </c>
      <c r="G19" t="s">
        <v>8</v>
      </c>
      <c r="T19" t="s">
        <v>34</v>
      </c>
      <c r="U19">
        <f t="shared" si="0"/>
        <v>0</v>
      </c>
      <c r="V19" t="s">
        <v>12</v>
      </c>
      <c r="W19">
        <v>-9999</v>
      </c>
    </row>
    <row r="20" spans="1:23">
      <c r="A20">
        <v>2013</v>
      </c>
      <c r="B20">
        <v>1</v>
      </c>
      <c r="C20">
        <v>19</v>
      </c>
      <c r="D20">
        <v>19</v>
      </c>
      <c r="E20" t="s">
        <v>46</v>
      </c>
      <c r="F20" t="s">
        <v>479</v>
      </c>
      <c r="G20" t="s">
        <v>9</v>
      </c>
      <c r="H20">
        <v>8.9</v>
      </c>
      <c r="N20">
        <v>170</v>
      </c>
      <c r="O20">
        <v>66</v>
      </c>
      <c r="P20">
        <v>50</v>
      </c>
      <c r="Q20">
        <v>4.16</v>
      </c>
      <c r="R20">
        <v>1.3</v>
      </c>
      <c r="S20">
        <v>0</v>
      </c>
      <c r="T20" t="s">
        <v>34</v>
      </c>
      <c r="U20">
        <f t="shared" si="0"/>
        <v>0</v>
      </c>
      <c r="V20" t="str">
        <f t="shared" si="1"/>
        <v>MLB</v>
      </c>
      <c r="W20" t="s">
        <v>1573</v>
      </c>
    </row>
    <row r="21" spans="1:23">
      <c r="A21">
        <v>2013</v>
      </c>
      <c r="B21">
        <v>1</v>
      </c>
      <c r="C21">
        <v>20</v>
      </c>
      <c r="D21">
        <v>20</v>
      </c>
      <c r="E21" t="s">
        <v>55</v>
      </c>
      <c r="F21" t="s">
        <v>480</v>
      </c>
      <c r="G21" t="s">
        <v>8</v>
      </c>
      <c r="T21" t="s">
        <v>34</v>
      </c>
      <c r="U21">
        <f t="shared" si="0"/>
        <v>0</v>
      </c>
      <c r="V21" t="s">
        <v>14</v>
      </c>
      <c r="W21">
        <v>-9999</v>
      </c>
    </row>
    <row r="22" spans="1:23">
      <c r="A22">
        <v>2013</v>
      </c>
      <c r="B22">
        <v>1</v>
      </c>
      <c r="C22">
        <v>21</v>
      </c>
      <c r="D22">
        <v>21</v>
      </c>
      <c r="E22" t="s">
        <v>69</v>
      </c>
      <c r="F22" t="s">
        <v>481</v>
      </c>
      <c r="G22" t="s">
        <v>6</v>
      </c>
      <c r="H22">
        <v>-0.2</v>
      </c>
      <c r="I22">
        <v>21</v>
      </c>
      <c r="J22">
        <v>48</v>
      </c>
      <c r="K22">
        <v>1</v>
      </c>
      <c r="L22">
        <v>0.188</v>
      </c>
      <c r="M22">
        <v>0.55100000000000005</v>
      </c>
      <c r="T22" t="s">
        <v>52</v>
      </c>
      <c r="U22">
        <f t="shared" si="0"/>
        <v>1</v>
      </c>
      <c r="V22" t="str">
        <f t="shared" si="1"/>
        <v>MLB</v>
      </c>
      <c r="W22" t="s">
        <v>1574</v>
      </c>
    </row>
    <row r="23" spans="1:23">
      <c r="A23">
        <v>2013</v>
      </c>
      <c r="B23">
        <v>1</v>
      </c>
      <c r="C23">
        <v>22</v>
      </c>
      <c r="D23">
        <v>22</v>
      </c>
      <c r="E23" t="s">
        <v>77</v>
      </c>
      <c r="F23" t="s">
        <v>482</v>
      </c>
      <c r="G23" t="s">
        <v>8</v>
      </c>
      <c r="H23">
        <v>4</v>
      </c>
      <c r="N23">
        <v>186</v>
      </c>
      <c r="O23">
        <v>10</v>
      </c>
      <c r="P23">
        <v>12</v>
      </c>
      <c r="Q23">
        <v>3.19</v>
      </c>
      <c r="R23">
        <v>1.1100000000000001</v>
      </c>
      <c r="S23">
        <v>11</v>
      </c>
      <c r="T23" t="s">
        <v>52</v>
      </c>
      <c r="U23">
        <f t="shared" si="0"/>
        <v>1</v>
      </c>
      <c r="V23" t="str">
        <f t="shared" si="1"/>
        <v>MLB</v>
      </c>
      <c r="W23" t="s">
        <v>1575</v>
      </c>
    </row>
    <row r="24" spans="1:23">
      <c r="A24">
        <v>2013</v>
      </c>
      <c r="B24">
        <v>1</v>
      </c>
      <c r="C24">
        <v>23</v>
      </c>
      <c r="D24">
        <v>23</v>
      </c>
      <c r="E24" t="s">
        <v>93</v>
      </c>
      <c r="F24" t="s">
        <v>483</v>
      </c>
      <c r="G24" t="s">
        <v>8</v>
      </c>
      <c r="H24">
        <v>-0.3</v>
      </c>
      <c r="N24">
        <v>71</v>
      </c>
      <c r="O24">
        <v>9</v>
      </c>
      <c r="P24">
        <v>24</v>
      </c>
      <c r="Q24">
        <v>5.68</v>
      </c>
      <c r="R24">
        <v>1.5</v>
      </c>
      <c r="S24">
        <v>0</v>
      </c>
      <c r="T24" t="s">
        <v>34</v>
      </c>
      <c r="U24">
        <f t="shared" si="0"/>
        <v>0</v>
      </c>
      <c r="V24" t="str">
        <f t="shared" si="1"/>
        <v>MLB</v>
      </c>
      <c r="W24" t="s">
        <v>1576</v>
      </c>
    </row>
    <row r="25" spans="1:23">
      <c r="A25">
        <v>2013</v>
      </c>
      <c r="B25">
        <v>1</v>
      </c>
      <c r="C25">
        <v>24</v>
      </c>
      <c r="D25">
        <v>24</v>
      </c>
      <c r="E25" t="s">
        <v>39</v>
      </c>
      <c r="F25" t="s">
        <v>484</v>
      </c>
      <c r="G25" t="s">
        <v>237</v>
      </c>
      <c r="H25">
        <v>-0.2</v>
      </c>
      <c r="I25">
        <v>327</v>
      </c>
      <c r="J25">
        <v>863</v>
      </c>
      <c r="K25">
        <v>34</v>
      </c>
      <c r="L25">
        <v>0.20899999999999999</v>
      </c>
      <c r="M25">
        <v>0.66500000000000004</v>
      </c>
      <c r="T25" t="s">
        <v>52</v>
      </c>
      <c r="U25">
        <f t="shared" si="0"/>
        <v>1</v>
      </c>
      <c r="V25" t="str">
        <f t="shared" si="1"/>
        <v>MLB</v>
      </c>
      <c r="W25" t="s">
        <v>1577</v>
      </c>
    </row>
    <row r="26" spans="1:23">
      <c r="A26">
        <v>2013</v>
      </c>
      <c r="B26">
        <v>1</v>
      </c>
      <c r="C26">
        <v>25</v>
      </c>
      <c r="D26">
        <v>25</v>
      </c>
      <c r="E26" t="s">
        <v>59</v>
      </c>
      <c r="F26" t="s">
        <v>485</v>
      </c>
      <c r="G26" t="s">
        <v>5</v>
      </c>
      <c r="H26">
        <v>2.1</v>
      </c>
      <c r="I26">
        <v>295</v>
      </c>
      <c r="J26">
        <v>917</v>
      </c>
      <c r="K26">
        <v>24</v>
      </c>
      <c r="L26">
        <v>0.252</v>
      </c>
      <c r="M26">
        <v>0.69299999999999995</v>
      </c>
      <c r="T26" t="s">
        <v>52</v>
      </c>
      <c r="U26">
        <f t="shared" si="0"/>
        <v>1</v>
      </c>
      <c r="V26" t="str">
        <f t="shared" si="1"/>
        <v>MLB</v>
      </c>
      <c r="W26" t="s">
        <v>1578</v>
      </c>
    </row>
    <row r="27" spans="1:23">
      <c r="A27">
        <v>2013</v>
      </c>
      <c r="B27">
        <v>1</v>
      </c>
      <c r="C27">
        <v>26</v>
      </c>
      <c r="D27">
        <v>26</v>
      </c>
      <c r="E27" t="s">
        <v>85</v>
      </c>
      <c r="F27" t="s">
        <v>486</v>
      </c>
      <c r="G27" t="s">
        <v>11</v>
      </c>
      <c r="T27" t="s">
        <v>34</v>
      </c>
      <c r="U27">
        <f t="shared" si="0"/>
        <v>0</v>
      </c>
      <c r="V27" t="s">
        <v>12</v>
      </c>
      <c r="W27">
        <v>-9999</v>
      </c>
    </row>
    <row r="28" spans="1:23">
      <c r="A28">
        <v>2013</v>
      </c>
      <c r="B28">
        <v>1</v>
      </c>
      <c r="C28">
        <v>27</v>
      </c>
      <c r="D28">
        <v>27</v>
      </c>
      <c r="E28" t="s">
        <v>35</v>
      </c>
      <c r="F28" t="s">
        <v>487</v>
      </c>
      <c r="G28" t="s">
        <v>237</v>
      </c>
      <c r="H28">
        <v>0.4</v>
      </c>
      <c r="I28">
        <v>237</v>
      </c>
      <c r="J28">
        <v>586</v>
      </c>
      <c r="K28">
        <v>17</v>
      </c>
      <c r="L28">
        <v>0.247</v>
      </c>
      <c r="M28">
        <v>0.72799999999999998</v>
      </c>
      <c r="T28" t="s">
        <v>34</v>
      </c>
      <c r="U28">
        <f t="shared" si="0"/>
        <v>0</v>
      </c>
      <c r="V28" t="str">
        <f t="shared" si="1"/>
        <v>MLB</v>
      </c>
      <c r="W28" t="s">
        <v>1579</v>
      </c>
    </row>
    <row r="29" spans="1:23">
      <c r="A29">
        <v>2013</v>
      </c>
      <c r="B29">
        <v>1</v>
      </c>
      <c r="C29">
        <v>28</v>
      </c>
      <c r="D29">
        <v>28</v>
      </c>
      <c r="E29" t="s">
        <v>488</v>
      </c>
      <c r="F29" t="s">
        <v>489</v>
      </c>
      <c r="G29" t="s">
        <v>9</v>
      </c>
      <c r="H29">
        <v>-0.1</v>
      </c>
      <c r="N29">
        <v>5</v>
      </c>
      <c r="O29">
        <v>0</v>
      </c>
      <c r="P29">
        <v>0</v>
      </c>
      <c r="Q29">
        <v>1.93</v>
      </c>
      <c r="R29">
        <v>1.07</v>
      </c>
      <c r="S29">
        <v>0</v>
      </c>
      <c r="T29" t="s">
        <v>52</v>
      </c>
      <c r="U29">
        <f t="shared" si="0"/>
        <v>1</v>
      </c>
      <c r="V29" t="str">
        <f t="shared" si="1"/>
        <v>MLB</v>
      </c>
      <c r="W29" t="s">
        <v>1580</v>
      </c>
    </row>
    <row r="30" spans="1:23">
      <c r="A30">
        <v>2013</v>
      </c>
      <c r="B30">
        <v>1</v>
      </c>
      <c r="C30">
        <v>29</v>
      </c>
      <c r="D30">
        <v>29</v>
      </c>
      <c r="E30" t="s">
        <v>490</v>
      </c>
      <c r="F30" t="s">
        <v>491</v>
      </c>
      <c r="G30" t="s">
        <v>8</v>
      </c>
      <c r="H30">
        <v>2.2999999999999998</v>
      </c>
      <c r="N30">
        <v>486</v>
      </c>
      <c r="O30">
        <v>22</v>
      </c>
      <c r="P30">
        <v>23</v>
      </c>
      <c r="Q30">
        <v>3.93</v>
      </c>
      <c r="R30">
        <v>1.33</v>
      </c>
      <c r="S30">
        <v>15</v>
      </c>
      <c r="T30" t="s">
        <v>34</v>
      </c>
      <c r="U30">
        <f t="shared" si="0"/>
        <v>0</v>
      </c>
      <c r="V30" t="str">
        <f t="shared" si="1"/>
        <v>MLB</v>
      </c>
      <c r="W30" t="s">
        <v>1581</v>
      </c>
    </row>
    <row r="31" spans="1:23">
      <c r="A31">
        <v>2013</v>
      </c>
      <c r="B31">
        <v>1</v>
      </c>
      <c r="C31">
        <v>30</v>
      </c>
      <c r="D31">
        <v>30</v>
      </c>
      <c r="E31" t="s">
        <v>492</v>
      </c>
      <c r="F31" t="s">
        <v>493</v>
      </c>
      <c r="G31" t="s">
        <v>5</v>
      </c>
      <c r="H31">
        <v>-1.7</v>
      </c>
      <c r="I31">
        <v>92</v>
      </c>
      <c r="J31">
        <v>287</v>
      </c>
      <c r="K31">
        <v>6</v>
      </c>
      <c r="L31">
        <v>0.216</v>
      </c>
      <c r="M31">
        <v>0.60499999999999998</v>
      </c>
      <c r="T31" t="s">
        <v>52</v>
      </c>
      <c r="U31">
        <f t="shared" si="0"/>
        <v>1</v>
      </c>
      <c r="V31" t="str">
        <f t="shared" si="1"/>
        <v>MLB</v>
      </c>
      <c r="W31" t="s">
        <v>1582</v>
      </c>
    </row>
    <row r="32" spans="1:23">
      <c r="A32">
        <v>2013</v>
      </c>
      <c r="B32">
        <v>1</v>
      </c>
      <c r="C32">
        <v>31</v>
      </c>
      <c r="D32">
        <v>31</v>
      </c>
      <c r="E32" t="s">
        <v>494</v>
      </c>
      <c r="F32" t="s">
        <v>495</v>
      </c>
      <c r="G32" t="s">
        <v>8</v>
      </c>
      <c r="H32">
        <v>-0.2</v>
      </c>
      <c r="N32">
        <v>11</v>
      </c>
      <c r="O32">
        <v>1</v>
      </c>
      <c r="P32">
        <v>0</v>
      </c>
      <c r="Q32">
        <v>8.25</v>
      </c>
      <c r="R32">
        <v>2</v>
      </c>
      <c r="S32">
        <v>0</v>
      </c>
      <c r="T32" t="s">
        <v>34</v>
      </c>
      <c r="U32">
        <f t="shared" si="0"/>
        <v>0</v>
      </c>
      <c r="V32" t="str">
        <f t="shared" si="1"/>
        <v>MLB</v>
      </c>
      <c r="W32" t="s">
        <v>1583</v>
      </c>
    </row>
    <row r="33" spans="1:23">
      <c r="A33">
        <v>2013</v>
      </c>
      <c r="B33">
        <v>1</v>
      </c>
      <c r="C33">
        <v>32</v>
      </c>
      <c r="D33">
        <v>32</v>
      </c>
      <c r="E33" t="s">
        <v>496</v>
      </c>
      <c r="F33" t="s">
        <v>497</v>
      </c>
      <c r="G33" t="s">
        <v>237</v>
      </c>
      <c r="H33">
        <v>64.900000000000006</v>
      </c>
      <c r="I33">
        <v>1189</v>
      </c>
      <c r="J33">
        <v>4262</v>
      </c>
      <c r="K33">
        <v>384</v>
      </c>
      <c r="L33">
        <v>0.29299999999999998</v>
      </c>
      <c r="M33">
        <v>1.028</v>
      </c>
      <c r="T33" t="s">
        <v>34</v>
      </c>
      <c r="U33">
        <f t="shared" si="0"/>
        <v>0</v>
      </c>
      <c r="V33" t="str">
        <f t="shared" si="1"/>
        <v>MLB</v>
      </c>
      <c r="W33" t="s">
        <v>1584</v>
      </c>
    </row>
    <row r="34" spans="1:23">
      <c r="A34">
        <v>2013</v>
      </c>
      <c r="B34">
        <v>1</v>
      </c>
      <c r="C34">
        <v>33</v>
      </c>
      <c r="D34">
        <v>33</v>
      </c>
      <c r="E34" t="s">
        <v>498</v>
      </c>
      <c r="F34" t="s">
        <v>499</v>
      </c>
      <c r="G34" t="s">
        <v>9</v>
      </c>
      <c r="T34" t="s">
        <v>52</v>
      </c>
      <c r="U34">
        <f t="shared" si="0"/>
        <v>1</v>
      </c>
      <c r="V34" t="s">
        <v>12</v>
      </c>
      <c r="W34">
        <v>-9999</v>
      </c>
    </row>
    <row r="35" spans="1:23">
      <c r="A35">
        <v>2013</v>
      </c>
      <c r="B35">
        <v>1</v>
      </c>
      <c r="C35">
        <v>34</v>
      </c>
      <c r="D35">
        <v>34</v>
      </c>
      <c r="E35" t="s">
        <v>43</v>
      </c>
      <c r="F35" t="s">
        <v>500</v>
      </c>
      <c r="G35" t="s">
        <v>9</v>
      </c>
      <c r="H35">
        <v>14.2</v>
      </c>
      <c r="N35">
        <v>252</v>
      </c>
      <c r="O35">
        <v>79</v>
      </c>
      <c r="P35">
        <v>66</v>
      </c>
      <c r="Q35">
        <v>4.13</v>
      </c>
      <c r="R35">
        <v>1.21</v>
      </c>
      <c r="S35">
        <v>1</v>
      </c>
      <c r="T35" t="s">
        <v>34</v>
      </c>
      <c r="U35">
        <f t="shared" si="0"/>
        <v>0</v>
      </c>
      <c r="V35" t="str">
        <f t="shared" si="1"/>
        <v>MLB</v>
      </c>
      <c r="W35" t="s">
        <v>1585</v>
      </c>
    </row>
    <row r="36" spans="1:23">
      <c r="A36">
        <v>2013</v>
      </c>
      <c r="B36">
        <v>1</v>
      </c>
      <c r="C36">
        <v>35</v>
      </c>
      <c r="D36">
        <v>35</v>
      </c>
      <c r="E36" t="s">
        <v>65</v>
      </c>
      <c r="F36" t="s">
        <v>501</v>
      </c>
      <c r="G36" t="s">
        <v>9</v>
      </c>
      <c r="H36">
        <v>-0.5</v>
      </c>
      <c r="N36">
        <v>8</v>
      </c>
      <c r="O36">
        <v>0</v>
      </c>
      <c r="P36">
        <v>0</v>
      </c>
      <c r="Q36">
        <v>16.2</v>
      </c>
      <c r="R36">
        <v>2.64</v>
      </c>
      <c r="S36">
        <v>0</v>
      </c>
      <c r="T36" t="s">
        <v>52</v>
      </c>
      <c r="U36">
        <f t="shared" si="0"/>
        <v>1</v>
      </c>
      <c r="V36" t="str">
        <f t="shared" si="1"/>
        <v>MLB</v>
      </c>
      <c r="W36" t="s">
        <v>1586</v>
      </c>
    </row>
    <row r="37" spans="1:23">
      <c r="A37">
        <v>2013</v>
      </c>
      <c r="B37">
        <v>1</v>
      </c>
      <c r="C37">
        <v>36</v>
      </c>
      <c r="D37">
        <v>36</v>
      </c>
      <c r="E37" t="s">
        <v>91</v>
      </c>
      <c r="F37" t="s">
        <v>502</v>
      </c>
      <c r="G37" t="s">
        <v>8</v>
      </c>
      <c r="H37">
        <v>-2</v>
      </c>
      <c r="N37">
        <v>16</v>
      </c>
      <c r="O37">
        <v>2</v>
      </c>
      <c r="P37">
        <v>8</v>
      </c>
      <c r="Q37">
        <v>7.89</v>
      </c>
      <c r="R37">
        <v>1.73</v>
      </c>
      <c r="S37">
        <v>0</v>
      </c>
      <c r="T37" t="s">
        <v>34</v>
      </c>
      <c r="U37">
        <f t="shared" si="0"/>
        <v>0</v>
      </c>
      <c r="V37" t="str">
        <f t="shared" si="1"/>
        <v>MLB</v>
      </c>
      <c r="W37" t="s">
        <v>1587</v>
      </c>
    </row>
    <row r="38" spans="1:23">
      <c r="A38">
        <v>2013</v>
      </c>
      <c r="B38">
        <v>1</v>
      </c>
      <c r="C38">
        <v>37</v>
      </c>
      <c r="D38">
        <v>37</v>
      </c>
      <c r="E38" t="s">
        <v>77</v>
      </c>
      <c r="F38" t="s">
        <v>503</v>
      </c>
      <c r="G38" t="s">
        <v>237</v>
      </c>
      <c r="T38" t="s">
        <v>52</v>
      </c>
      <c r="U38">
        <f t="shared" si="0"/>
        <v>1</v>
      </c>
      <c r="V38" t="s">
        <v>14</v>
      </c>
      <c r="W38">
        <v>-9999</v>
      </c>
    </row>
    <row r="39" spans="1:23">
      <c r="A39">
        <v>2013</v>
      </c>
      <c r="B39">
        <v>1</v>
      </c>
      <c r="C39">
        <v>38</v>
      </c>
      <c r="D39">
        <v>38</v>
      </c>
      <c r="E39" t="s">
        <v>35</v>
      </c>
      <c r="F39" t="s">
        <v>504</v>
      </c>
      <c r="G39" t="s">
        <v>8</v>
      </c>
      <c r="H39">
        <v>11.3</v>
      </c>
      <c r="N39">
        <v>405</v>
      </c>
      <c r="O39">
        <v>56</v>
      </c>
      <c r="P39">
        <v>60</v>
      </c>
      <c r="Q39">
        <v>4.1900000000000004</v>
      </c>
      <c r="R39">
        <v>1.34</v>
      </c>
      <c r="S39">
        <v>15</v>
      </c>
      <c r="T39" t="s">
        <v>34</v>
      </c>
      <c r="U39">
        <f t="shared" si="0"/>
        <v>0</v>
      </c>
      <c r="V39" t="str">
        <f t="shared" si="1"/>
        <v>MLB</v>
      </c>
      <c r="W39" t="s">
        <v>1588</v>
      </c>
    </row>
    <row r="40" spans="1:23">
      <c r="A40">
        <v>2013</v>
      </c>
      <c r="B40">
        <v>1</v>
      </c>
      <c r="C40">
        <v>39</v>
      </c>
      <c r="D40">
        <v>39</v>
      </c>
      <c r="E40" t="s">
        <v>55</v>
      </c>
      <c r="F40" t="s">
        <v>505</v>
      </c>
      <c r="G40" t="s">
        <v>8</v>
      </c>
      <c r="H40">
        <v>5.5</v>
      </c>
      <c r="N40">
        <v>312</v>
      </c>
      <c r="O40">
        <v>13</v>
      </c>
      <c r="P40">
        <v>16</v>
      </c>
      <c r="Q40">
        <v>3.26</v>
      </c>
      <c r="R40">
        <v>1.24</v>
      </c>
      <c r="S40">
        <v>72</v>
      </c>
      <c r="T40" t="s">
        <v>34</v>
      </c>
      <c r="U40">
        <f t="shared" si="0"/>
        <v>0</v>
      </c>
      <c r="V40" t="str">
        <f t="shared" si="1"/>
        <v>MLB</v>
      </c>
      <c r="W40" t="s">
        <v>1589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225B-B778-40D5-99AC-99430BCF97DA}">
  <dimension ref="A1:W42"/>
  <sheetViews>
    <sheetView topLeftCell="A19" workbookViewId="0">
      <selection activeCell="W1" sqref="W1"/>
    </sheetView>
  </sheetViews>
  <sheetFormatPr defaultRowHeight="14.5"/>
  <cols>
    <col min="1" max="1" width="4.81640625" bestFit="1" customWidth="1"/>
    <col min="2" max="2" width="3.90625" bestFit="1" customWidth="1"/>
    <col min="3" max="3" width="6" bestFit="1" customWidth="1"/>
    <col min="4" max="4" width="5.90625" bestFit="1" customWidth="1"/>
    <col min="5" max="5" width="13" bestFit="1" customWidth="1"/>
    <col min="6" max="6" width="22.7265625" bestFit="1" customWidth="1"/>
    <col min="7" max="7" width="4.26953125" bestFit="1" customWidth="1"/>
    <col min="8" max="10" width="4.81640625" bestFit="1" customWidth="1"/>
    <col min="11" max="11" width="3.81640625" bestFit="1" customWidth="1"/>
    <col min="12" max="13" width="5.81640625" bestFit="1" customWidth="1"/>
    <col min="14" max="15" width="3.81640625" bestFit="1" customWidth="1"/>
    <col min="16" max="16" width="2.81640625" bestFit="1" customWidth="1"/>
    <col min="17" max="17" width="5.81640625" bestFit="1" customWidth="1"/>
    <col min="18" max="18" width="5.26953125" bestFit="1" customWidth="1"/>
    <col min="19" max="19" width="2.90625" bestFit="1" customWidth="1"/>
    <col min="20" max="20" width="4.54296875" bestFit="1" customWidth="1"/>
    <col min="21" max="21" width="4" bestFit="1" customWidth="1"/>
  </cols>
  <sheetData>
    <row r="1" spans="1:23">
      <c r="A1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>
        <v>2014</v>
      </c>
      <c r="B2">
        <v>1</v>
      </c>
      <c r="C2">
        <v>1</v>
      </c>
      <c r="D2">
        <v>1</v>
      </c>
      <c r="E2" t="s">
        <v>89</v>
      </c>
      <c r="F2" t="s">
        <v>396</v>
      </c>
      <c r="G2" t="s">
        <v>9</v>
      </c>
      <c r="T2" t="s">
        <v>52</v>
      </c>
      <c r="U2">
        <f>IF(ISNUMBER(SEARCH("HS",T2)),1,0)</f>
        <v>1</v>
      </c>
      <c r="V2" t="s">
        <v>1114</v>
      </c>
      <c r="W2">
        <v>-9999</v>
      </c>
    </row>
    <row r="3" spans="1:23">
      <c r="A3">
        <v>2014</v>
      </c>
      <c r="B3">
        <v>1</v>
      </c>
      <c r="C3">
        <v>2</v>
      </c>
      <c r="D3">
        <v>2</v>
      </c>
      <c r="E3" t="s">
        <v>65</v>
      </c>
      <c r="F3" t="s">
        <v>422</v>
      </c>
      <c r="G3" t="s">
        <v>8</v>
      </c>
      <c r="T3" t="s">
        <v>52</v>
      </c>
      <c r="U3">
        <f t="shared" ref="U3:U42" si="0">IF(ISNUMBER(SEARCH("HS",T3)),1,0)</f>
        <v>1</v>
      </c>
      <c r="V3" t="s">
        <v>1114</v>
      </c>
      <c r="W3">
        <v>-9999</v>
      </c>
    </row>
    <row r="4" spans="1:23">
      <c r="A4">
        <v>2014</v>
      </c>
      <c r="B4">
        <v>1</v>
      </c>
      <c r="C4">
        <v>3</v>
      </c>
      <c r="D4">
        <v>3</v>
      </c>
      <c r="E4" t="s">
        <v>41</v>
      </c>
      <c r="F4" t="s">
        <v>423</v>
      </c>
      <c r="G4" t="s">
        <v>9</v>
      </c>
      <c r="H4">
        <v>22.1</v>
      </c>
      <c r="N4">
        <v>232</v>
      </c>
      <c r="O4">
        <v>93</v>
      </c>
      <c r="P4">
        <v>72</v>
      </c>
      <c r="Q4">
        <v>3.74</v>
      </c>
      <c r="R4">
        <v>1.22</v>
      </c>
      <c r="S4">
        <v>0</v>
      </c>
      <c r="T4" t="s">
        <v>34</v>
      </c>
      <c r="U4">
        <f t="shared" si="0"/>
        <v>0</v>
      </c>
      <c r="V4" t="str">
        <f t="shared" ref="V4:V40" si="1">IF(ISNUMBER(H4),"MLB","")</f>
        <v>MLB</v>
      </c>
      <c r="W4" t="s">
        <v>1590</v>
      </c>
    </row>
    <row r="5" spans="1:23">
      <c r="A5">
        <v>2014</v>
      </c>
      <c r="B5">
        <v>1</v>
      </c>
      <c r="C5">
        <v>4</v>
      </c>
      <c r="D5">
        <v>4</v>
      </c>
      <c r="E5" t="s">
        <v>61</v>
      </c>
      <c r="F5" t="s">
        <v>424</v>
      </c>
      <c r="G5" t="s">
        <v>6</v>
      </c>
      <c r="H5">
        <v>21.2</v>
      </c>
      <c r="I5">
        <v>1334</v>
      </c>
      <c r="J5">
        <v>4703</v>
      </c>
      <c r="K5">
        <v>357</v>
      </c>
      <c r="L5">
        <v>0.23100000000000001</v>
      </c>
      <c r="M5">
        <v>0.85</v>
      </c>
      <c r="T5" t="s">
        <v>34</v>
      </c>
      <c r="U5">
        <f t="shared" si="0"/>
        <v>0</v>
      </c>
      <c r="V5" t="str">
        <f t="shared" si="1"/>
        <v>MLB</v>
      </c>
      <c r="W5" t="s">
        <v>1591</v>
      </c>
    </row>
    <row r="6" spans="1:23">
      <c r="A6">
        <v>2014</v>
      </c>
      <c r="B6">
        <v>1</v>
      </c>
      <c r="C6">
        <v>5</v>
      </c>
      <c r="D6">
        <v>5</v>
      </c>
      <c r="E6" t="s">
        <v>75</v>
      </c>
      <c r="F6" t="s">
        <v>425</v>
      </c>
      <c r="G6" t="s">
        <v>5</v>
      </c>
      <c r="H6">
        <v>-0.5</v>
      </c>
      <c r="I6">
        <v>338</v>
      </c>
      <c r="J6">
        <v>956</v>
      </c>
      <c r="K6">
        <v>23</v>
      </c>
      <c r="L6">
        <v>0.24399999999999999</v>
      </c>
      <c r="M6">
        <v>0.66900000000000004</v>
      </c>
      <c r="T6" t="s">
        <v>52</v>
      </c>
      <c r="U6">
        <f t="shared" si="0"/>
        <v>1</v>
      </c>
      <c r="V6" t="str">
        <f t="shared" si="1"/>
        <v>MLB</v>
      </c>
      <c r="W6" t="s">
        <v>1592</v>
      </c>
    </row>
    <row r="7" spans="1:23">
      <c r="A7">
        <v>2014</v>
      </c>
      <c r="B7">
        <v>1</v>
      </c>
      <c r="C7">
        <v>6</v>
      </c>
      <c r="D7">
        <v>6</v>
      </c>
      <c r="E7" t="s">
        <v>63</v>
      </c>
      <c r="F7" t="s">
        <v>426</v>
      </c>
      <c r="G7" t="s">
        <v>2</v>
      </c>
      <c r="H7">
        <v>-0.7</v>
      </c>
      <c r="I7">
        <v>160</v>
      </c>
      <c r="J7">
        <v>393</v>
      </c>
      <c r="K7">
        <v>11</v>
      </c>
      <c r="L7">
        <v>0.153</v>
      </c>
      <c r="M7">
        <v>0.52700000000000002</v>
      </c>
      <c r="T7" t="s">
        <v>52</v>
      </c>
      <c r="U7">
        <f t="shared" si="0"/>
        <v>1</v>
      </c>
      <c r="V7" t="str">
        <f t="shared" si="1"/>
        <v>MLB</v>
      </c>
      <c r="W7" t="s">
        <v>1593</v>
      </c>
    </row>
    <row r="8" spans="1:23">
      <c r="A8">
        <v>2014</v>
      </c>
      <c r="B8">
        <v>1</v>
      </c>
      <c r="C8">
        <v>7</v>
      </c>
      <c r="D8">
        <v>7</v>
      </c>
      <c r="E8" t="s">
        <v>87</v>
      </c>
      <c r="F8" t="s">
        <v>427</v>
      </c>
      <c r="G8" t="s">
        <v>8</v>
      </c>
      <c r="H8">
        <v>35.700000000000003</v>
      </c>
      <c r="N8">
        <v>293</v>
      </c>
      <c r="O8">
        <v>111</v>
      </c>
      <c r="P8">
        <v>92</v>
      </c>
      <c r="Q8">
        <v>3.86</v>
      </c>
      <c r="R8">
        <v>1.1599999999999999</v>
      </c>
      <c r="S8">
        <v>0</v>
      </c>
      <c r="T8" t="s">
        <v>34</v>
      </c>
      <c r="U8">
        <f t="shared" si="0"/>
        <v>0</v>
      </c>
      <c r="V8" t="str">
        <f t="shared" si="1"/>
        <v>MLB</v>
      </c>
      <c r="W8" t="s">
        <v>1594</v>
      </c>
    </row>
    <row r="9" spans="1:23">
      <c r="A9">
        <v>2014</v>
      </c>
      <c r="B9">
        <v>1</v>
      </c>
      <c r="C9">
        <v>8</v>
      </c>
      <c r="D9">
        <v>8</v>
      </c>
      <c r="E9" t="s">
        <v>37</v>
      </c>
      <c r="F9" t="s">
        <v>428</v>
      </c>
      <c r="G9" t="s">
        <v>9</v>
      </c>
      <c r="H9">
        <v>19.2</v>
      </c>
      <c r="N9">
        <v>242</v>
      </c>
      <c r="O9">
        <v>66</v>
      </c>
      <c r="P9">
        <v>94</v>
      </c>
      <c r="Q9">
        <v>4.58</v>
      </c>
      <c r="R9">
        <v>1.42</v>
      </c>
      <c r="S9">
        <v>0</v>
      </c>
      <c r="T9" t="s">
        <v>34</v>
      </c>
      <c r="U9">
        <f t="shared" si="0"/>
        <v>0</v>
      </c>
      <c r="V9" t="str">
        <f t="shared" si="1"/>
        <v>MLB</v>
      </c>
      <c r="W9" t="s">
        <v>1595</v>
      </c>
    </row>
    <row r="10" spans="1:23">
      <c r="A10">
        <v>2014</v>
      </c>
      <c r="B10">
        <v>1</v>
      </c>
      <c r="C10">
        <v>9</v>
      </c>
      <c r="D10">
        <v>9</v>
      </c>
      <c r="E10" t="s">
        <v>73</v>
      </c>
      <c r="F10" t="s">
        <v>429</v>
      </c>
      <c r="G10" t="s">
        <v>8</v>
      </c>
      <c r="H10">
        <v>3.7</v>
      </c>
      <c r="N10">
        <v>347</v>
      </c>
      <c r="O10">
        <v>34</v>
      </c>
      <c r="P10">
        <v>35</v>
      </c>
      <c r="Q10">
        <v>4.8</v>
      </c>
      <c r="R10">
        <v>1.41</v>
      </c>
      <c r="S10">
        <v>48</v>
      </c>
      <c r="T10" t="s">
        <v>34</v>
      </c>
      <c r="U10">
        <f t="shared" si="0"/>
        <v>0</v>
      </c>
      <c r="V10" t="str">
        <f t="shared" si="1"/>
        <v>MLB</v>
      </c>
      <c r="W10" t="s">
        <v>1596</v>
      </c>
    </row>
    <row r="11" spans="1:23">
      <c r="A11">
        <v>2014</v>
      </c>
      <c r="B11">
        <v>1</v>
      </c>
      <c r="C11">
        <v>10</v>
      </c>
      <c r="D11">
        <v>10</v>
      </c>
      <c r="E11" t="s">
        <v>71</v>
      </c>
      <c r="F11" t="s">
        <v>430</v>
      </c>
      <c r="G11" t="s">
        <v>2</v>
      </c>
      <c r="H11">
        <v>17.399999999999999</v>
      </c>
      <c r="I11">
        <v>1175</v>
      </c>
      <c r="J11">
        <v>3861</v>
      </c>
      <c r="K11">
        <v>181</v>
      </c>
      <c r="L11">
        <v>0.246</v>
      </c>
      <c r="M11">
        <v>0.78900000000000003</v>
      </c>
      <c r="T11" t="s">
        <v>34</v>
      </c>
      <c r="U11">
        <f t="shared" si="0"/>
        <v>0</v>
      </c>
      <c r="V11" t="str">
        <f t="shared" si="1"/>
        <v>MLB</v>
      </c>
      <c r="W11" t="s">
        <v>1597</v>
      </c>
    </row>
    <row r="12" spans="1:23">
      <c r="A12">
        <v>2014</v>
      </c>
      <c r="B12">
        <v>1</v>
      </c>
      <c r="C12">
        <v>11</v>
      </c>
      <c r="D12">
        <v>11</v>
      </c>
      <c r="E12" t="s">
        <v>73</v>
      </c>
      <c r="F12" t="s">
        <v>431</v>
      </c>
      <c r="G12" t="s">
        <v>6</v>
      </c>
      <c r="T12" t="s">
        <v>34</v>
      </c>
      <c r="U12">
        <f t="shared" si="0"/>
        <v>0</v>
      </c>
      <c r="V12" t="s">
        <v>1114</v>
      </c>
      <c r="W12">
        <v>-9999</v>
      </c>
    </row>
    <row r="13" spans="1:23">
      <c r="A13">
        <v>2014</v>
      </c>
      <c r="B13">
        <v>1</v>
      </c>
      <c r="C13">
        <v>12</v>
      </c>
      <c r="D13">
        <v>12</v>
      </c>
      <c r="E13" t="s">
        <v>67</v>
      </c>
      <c r="F13" t="s">
        <v>432</v>
      </c>
      <c r="G13" t="s">
        <v>9</v>
      </c>
      <c r="T13" t="s">
        <v>52</v>
      </c>
      <c r="U13">
        <f t="shared" si="0"/>
        <v>1</v>
      </c>
      <c r="V13" t="s">
        <v>12</v>
      </c>
      <c r="W13">
        <v>-9999</v>
      </c>
    </row>
    <row r="14" spans="1:23">
      <c r="A14">
        <v>2014</v>
      </c>
      <c r="B14">
        <v>1</v>
      </c>
      <c r="C14">
        <v>13</v>
      </c>
      <c r="D14">
        <v>13</v>
      </c>
      <c r="E14" t="s">
        <v>83</v>
      </c>
      <c r="F14" t="s">
        <v>433</v>
      </c>
      <c r="G14" t="s">
        <v>5</v>
      </c>
      <c r="H14">
        <v>41.8</v>
      </c>
      <c r="I14">
        <v>1308</v>
      </c>
      <c r="J14">
        <v>5328</v>
      </c>
      <c r="K14">
        <v>190</v>
      </c>
      <c r="L14">
        <v>0.29499999999999998</v>
      </c>
      <c r="M14">
        <v>0.82099999999999995</v>
      </c>
      <c r="T14" t="s">
        <v>34</v>
      </c>
      <c r="U14">
        <f t="shared" si="0"/>
        <v>0</v>
      </c>
      <c r="V14" t="str">
        <f t="shared" si="1"/>
        <v>MLB</v>
      </c>
      <c r="W14" t="s">
        <v>1598</v>
      </c>
    </row>
    <row r="15" spans="1:23">
      <c r="A15">
        <v>2014</v>
      </c>
      <c r="B15">
        <v>1</v>
      </c>
      <c r="C15">
        <v>14</v>
      </c>
      <c r="D15">
        <v>14</v>
      </c>
      <c r="E15" t="s">
        <v>59</v>
      </c>
      <c r="F15" t="s">
        <v>434</v>
      </c>
      <c r="G15" t="s">
        <v>8</v>
      </c>
      <c r="H15">
        <v>-1.2</v>
      </c>
      <c r="N15">
        <v>71</v>
      </c>
      <c r="O15">
        <v>8</v>
      </c>
      <c r="P15">
        <v>16</v>
      </c>
      <c r="Q15">
        <v>5.55</v>
      </c>
      <c r="R15">
        <v>1.58</v>
      </c>
      <c r="S15">
        <v>0</v>
      </c>
      <c r="T15" t="s">
        <v>34</v>
      </c>
      <c r="U15">
        <f t="shared" si="0"/>
        <v>0</v>
      </c>
      <c r="V15" t="str">
        <f t="shared" si="1"/>
        <v>MLB</v>
      </c>
      <c r="W15" t="s">
        <v>1493</v>
      </c>
    </row>
    <row r="16" spans="1:23">
      <c r="A16">
        <v>2014</v>
      </c>
      <c r="B16">
        <v>1</v>
      </c>
      <c r="C16">
        <v>15</v>
      </c>
      <c r="D16">
        <v>15</v>
      </c>
      <c r="E16" t="s">
        <v>48</v>
      </c>
      <c r="F16" t="s">
        <v>435</v>
      </c>
      <c r="G16" t="s">
        <v>9</v>
      </c>
      <c r="H16">
        <v>4.5999999999999996</v>
      </c>
      <c r="N16">
        <v>241</v>
      </c>
      <c r="O16">
        <v>30</v>
      </c>
      <c r="P16">
        <v>30</v>
      </c>
      <c r="Q16">
        <v>4.1500000000000004</v>
      </c>
      <c r="R16">
        <v>1.44</v>
      </c>
      <c r="S16">
        <v>4</v>
      </c>
      <c r="T16" t="s">
        <v>34</v>
      </c>
      <c r="U16">
        <f t="shared" si="0"/>
        <v>0</v>
      </c>
      <c r="V16" t="str">
        <f t="shared" si="1"/>
        <v>MLB</v>
      </c>
      <c r="W16" t="s">
        <v>1599</v>
      </c>
    </row>
    <row r="17" spans="1:23">
      <c r="A17">
        <v>2014</v>
      </c>
      <c r="B17">
        <v>1</v>
      </c>
      <c r="C17">
        <v>16</v>
      </c>
      <c r="D17">
        <v>16</v>
      </c>
      <c r="E17" t="s">
        <v>91</v>
      </c>
      <c r="F17" t="s">
        <v>436</v>
      </c>
      <c r="G17" t="s">
        <v>8</v>
      </c>
      <c r="H17">
        <v>-0.2</v>
      </c>
      <c r="N17">
        <v>89</v>
      </c>
      <c r="O17">
        <v>15</v>
      </c>
      <c r="P17">
        <v>16</v>
      </c>
      <c r="Q17">
        <v>5.42</v>
      </c>
      <c r="R17">
        <v>1.54</v>
      </c>
      <c r="S17">
        <v>0</v>
      </c>
      <c r="T17" t="s">
        <v>52</v>
      </c>
      <c r="U17">
        <f t="shared" si="0"/>
        <v>1</v>
      </c>
      <c r="V17" t="str">
        <f t="shared" si="1"/>
        <v>MLB</v>
      </c>
      <c r="W17" t="s">
        <v>1600</v>
      </c>
    </row>
    <row r="18" spans="1:23">
      <c r="A18">
        <v>2014</v>
      </c>
      <c r="B18">
        <v>1</v>
      </c>
      <c r="C18">
        <v>17</v>
      </c>
      <c r="D18">
        <v>17</v>
      </c>
      <c r="E18" t="s">
        <v>43</v>
      </c>
      <c r="F18" t="s">
        <v>437</v>
      </c>
      <c r="G18" t="s">
        <v>9</v>
      </c>
      <c r="H18">
        <v>2.2000000000000002</v>
      </c>
      <c r="N18">
        <v>67</v>
      </c>
      <c r="O18">
        <v>16</v>
      </c>
      <c r="P18">
        <v>18</v>
      </c>
      <c r="Q18">
        <v>4.1100000000000003</v>
      </c>
      <c r="R18">
        <v>1.39</v>
      </c>
      <c r="S18">
        <v>0</v>
      </c>
      <c r="T18" t="s">
        <v>34</v>
      </c>
      <c r="U18">
        <f t="shared" si="0"/>
        <v>0</v>
      </c>
      <c r="V18" t="str">
        <f t="shared" si="1"/>
        <v>MLB</v>
      </c>
      <c r="W18" t="s">
        <v>1601</v>
      </c>
    </row>
    <row r="19" spans="1:23">
      <c r="A19">
        <v>2014</v>
      </c>
      <c r="B19">
        <v>1</v>
      </c>
      <c r="C19">
        <v>18</v>
      </c>
      <c r="D19">
        <v>18</v>
      </c>
      <c r="E19" t="s">
        <v>53</v>
      </c>
      <c r="F19" t="s">
        <v>438</v>
      </c>
      <c r="G19" t="s">
        <v>8</v>
      </c>
      <c r="H19">
        <v>5.4</v>
      </c>
      <c r="N19">
        <v>173</v>
      </c>
      <c r="O19">
        <v>34</v>
      </c>
      <c r="P19">
        <v>59</v>
      </c>
      <c r="Q19">
        <v>4.88</v>
      </c>
      <c r="R19">
        <v>1.42</v>
      </c>
      <c r="S19">
        <v>0</v>
      </c>
      <c r="T19" t="s">
        <v>34</v>
      </c>
      <c r="U19">
        <f t="shared" si="0"/>
        <v>0</v>
      </c>
      <c r="V19" t="str">
        <f t="shared" si="1"/>
        <v>MLB</v>
      </c>
      <c r="W19" t="s">
        <v>1602</v>
      </c>
    </row>
    <row r="20" spans="1:23">
      <c r="A20">
        <v>2014</v>
      </c>
      <c r="B20">
        <v>1</v>
      </c>
      <c r="C20">
        <v>19</v>
      </c>
      <c r="D20">
        <v>19</v>
      </c>
      <c r="E20" t="s">
        <v>35</v>
      </c>
      <c r="F20" t="s">
        <v>439</v>
      </c>
      <c r="G20" t="s">
        <v>8</v>
      </c>
      <c r="T20" t="s">
        <v>34</v>
      </c>
      <c r="U20">
        <f t="shared" si="0"/>
        <v>0</v>
      </c>
      <c r="V20" t="s">
        <v>12</v>
      </c>
      <c r="W20">
        <v>-9999</v>
      </c>
    </row>
    <row r="21" spans="1:23">
      <c r="A21">
        <v>2014</v>
      </c>
      <c r="B21">
        <v>1</v>
      </c>
      <c r="C21">
        <v>20</v>
      </c>
      <c r="D21">
        <v>20</v>
      </c>
      <c r="E21" t="s">
        <v>69</v>
      </c>
      <c r="F21" t="s">
        <v>440</v>
      </c>
      <c r="G21" t="s">
        <v>3</v>
      </c>
      <c r="T21" t="s">
        <v>34</v>
      </c>
      <c r="U21">
        <f t="shared" si="0"/>
        <v>0</v>
      </c>
      <c r="V21" t="s">
        <v>12</v>
      </c>
      <c r="W21">
        <v>-9999</v>
      </c>
    </row>
    <row r="22" spans="1:23">
      <c r="A22">
        <v>2014</v>
      </c>
      <c r="B22">
        <v>1</v>
      </c>
      <c r="C22">
        <v>21</v>
      </c>
      <c r="D22">
        <v>21</v>
      </c>
      <c r="E22" t="s">
        <v>206</v>
      </c>
      <c r="F22" t="s">
        <v>441</v>
      </c>
      <c r="G22" t="s">
        <v>2</v>
      </c>
      <c r="H22">
        <v>2.9</v>
      </c>
      <c r="I22">
        <v>372</v>
      </c>
      <c r="J22">
        <v>859</v>
      </c>
      <c r="K22">
        <v>21</v>
      </c>
      <c r="L22">
        <v>0.21299999999999999</v>
      </c>
      <c r="M22">
        <v>0.63100000000000001</v>
      </c>
      <c r="T22" t="s">
        <v>34</v>
      </c>
      <c r="U22">
        <f t="shared" si="0"/>
        <v>0</v>
      </c>
      <c r="V22" t="str">
        <f t="shared" si="1"/>
        <v>MLB</v>
      </c>
      <c r="W22" t="s">
        <v>1603</v>
      </c>
    </row>
    <row r="23" spans="1:23">
      <c r="A23">
        <v>2014</v>
      </c>
      <c r="B23">
        <v>1</v>
      </c>
      <c r="C23">
        <v>22</v>
      </c>
      <c r="D23">
        <v>22</v>
      </c>
      <c r="E23" t="s">
        <v>79</v>
      </c>
      <c r="F23" t="s">
        <v>442</v>
      </c>
      <c r="G23" t="s">
        <v>8</v>
      </c>
      <c r="H23">
        <v>2.9</v>
      </c>
      <c r="N23">
        <v>56</v>
      </c>
      <c r="O23">
        <v>8</v>
      </c>
      <c r="P23">
        <v>11</v>
      </c>
      <c r="Q23">
        <v>3.93</v>
      </c>
      <c r="R23">
        <v>1.29</v>
      </c>
      <c r="S23">
        <v>0</v>
      </c>
      <c r="T23" t="s">
        <v>52</v>
      </c>
      <c r="U23">
        <f t="shared" si="0"/>
        <v>1</v>
      </c>
      <c r="V23" t="str">
        <f t="shared" si="1"/>
        <v>MLB</v>
      </c>
      <c r="W23" t="s">
        <v>1604</v>
      </c>
    </row>
    <row r="24" spans="1:23">
      <c r="A24">
        <v>2014</v>
      </c>
      <c r="B24">
        <v>1</v>
      </c>
      <c r="C24">
        <v>23</v>
      </c>
      <c r="D24">
        <v>23</v>
      </c>
      <c r="E24" t="s">
        <v>55</v>
      </c>
      <c r="F24" t="s">
        <v>443</v>
      </c>
      <c r="G24" t="s">
        <v>2</v>
      </c>
      <c r="H24">
        <v>1</v>
      </c>
      <c r="I24">
        <v>250</v>
      </c>
      <c r="J24">
        <v>620</v>
      </c>
      <c r="K24">
        <v>17</v>
      </c>
      <c r="L24">
        <v>0.23100000000000001</v>
      </c>
      <c r="M24">
        <v>0.63600000000000001</v>
      </c>
      <c r="T24" t="s">
        <v>52</v>
      </c>
      <c r="U24">
        <f t="shared" si="0"/>
        <v>1</v>
      </c>
      <c r="V24" t="str">
        <f t="shared" si="1"/>
        <v>MLB</v>
      </c>
      <c r="W24" t="s">
        <v>1605</v>
      </c>
    </row>
    <row r="25" spans="1:23">
      <c r="A25">
        <v>2014</v>
      </c>
      <c r="B25">
        <v>1</v>
      </c>
      <c r="C25">
        <v>24</v>
      </c>
      <c r="D25">
        <v>24</v>
      </c>
      <c r="E25" t="s">
        <v>50</v>
      </c>
      <c r="F25" t="s">
        <v>444</v>
      </c>
      <c r="G25" t="s">
        <v>5</v>
      </c>
      <c r="H25">
        <v>-3</v>
      </c>
      <c r="I25">
        <v>183</v>
      </c>
      <c r="J25">
        <v>494</v>
      </c>
      <c r="K25">
        <v>5</v>
      </c>
      <c r="L25">
        <v>0.21299999999999999</v>
      </c>
      <c r="M25">
        <v>0.58199999999999996</v>
      </c>
      <c r="T25" t="s">
        <v>52</v>
      </c>
      <c r="U25">
        <f t="shared" si="0"/>
        <v>1</v>
      </c>
      <c r="V25" t="str">
        <f t="shared" si="1"/>
        <v>MLB</v>
      </c>
      <c r="W25" t="s">
        <v>1606</v>
      </c>
    </row>
    <row r="26" spans="1:23">
      <c r="A26">
        <v>2014</v>
      </c>
      <c r="B26">
        <v>1</v>
      </c>
      <c r="C26">
        <v>25</v>
      </c>
      <c r="D26">
        <v>25</v>
      </c>
      <c r="E26" t="s">
        <v>39</v>
      </c>
      <c r="F26" t="s">
        <v>445</v>
      </c>
      <c r="G26" t="s">
        <v>11</v>
      </c>
      <c r="H26">
        <v>42.7</v>
      </c>
      <c r="I26">
        <v>1192</v>
      </c>
      <c r="J26">
        <v>4325</v>
      </c>
      <c r="K26">
        <v>204</v>
      </c>
      <c r="L26">
        <v>0.24</v>
      </c>
      <c r="M26">
        <v>0.78200000000000003</v>
      </c>
      <c r="T26" t="s">
        <v>34</v>
      </c>
      <c r="U26">
        <f t="shared" si="0"/>
        <v>0</v>
      </c>
      <c r="V26" t="str">
        <f t="shared" si="1"/>
        <v>MLB</v>
      </c>
      <c r="W26" t="s">
        <v>1607</v>
      </c>
    </row>
    <row r="27" spans="1:23">
      <c r="A27">
        <v>2014</v>
      </c>
      <c r="B27">
        <v>1</v>
      </c>
      <c r="C27">
        <v>26</v>
      </c>
      <c r="D27">
        <v>26</v>
      </c>
      <c r="E27" t="s">
        <v>57</v>
      </c>
      <c r="F27" t="s">
        <v>446</v>
      </c>
      <c r="G27" t="s">
        <v>5</v>
      </c>
      <c r="H27">
        <v>0.1</v>
      </c>
      <c r="I27">
        <v>357</v>
      </c>
      <c r="J27">
        <v>1106</v>
      </c>
      <c r="K27">
        <v>42</v>
      </c>
      <c r="L27">
        <v>0.23799999999999999</v>
      </c>
      <c r="M27">
        <v>0.68500000000000005</v>
      </c>
      <c r="T27" t="s">
        <v>52</v>
      </c>
      <c r="U27">
        <f t="shared" si="0"/>
        <v>1</v>
      </c>
      <c r="V27" t="str">
        <f t="shared" si="1"/>
        <v>MLB</v>
      </c>
      <c r="W27" t="s">
        <v>1608</v>
      </c>
    </row>
    <row r="28" spans="1:23">
      <c r="A28">
        <v>2014</v>
      </c>
      <c r="B28">
        <v>1</v>
      </c>
      <c r="C28">
        <v>27</v>
      </c>
      <c r="D28">
        <v>27</v>
      </c>
      <c r="E28" t="s">
        <v>46</v>
      </c>
      <c r="F28" t="s">
        <v>447</v>
      </c>
      <c r="G28" t="s">
        <v>8</v>
      </c>
      <c r="H28">
        <v>3.5</v>
      </c>
      <c r="N28">
        <v>287</v>
      </c>
      <c r="O28">
        <v>40</v>
      </c>
      <c r="P28">
        <v>50</v>
      </c>
      <c r="Q28">
        <v>4.7300000000000004</v>
      </c>
      <c r="R28">
        <v>1.34</v>
      </c>
      <c r="S28">
        <v>12</v>
      </c>
      <c r="T28" t="s">
        <v>34</v>
      </c>
      <c r="U28">
        <f t="shared" si="0"/>
        <v>0</v>
      </c>
      <c r="V28" t="str">
        <f t="shared" si="1"/>
        <v>MLB</v>
      </c>
      <c r="W28" t="s">
        <v>1609</v>
      </c>
    </row>
    <row r="29" spans="1:23">
      <c r="A29">
        <v>2014</v>
      </c>
      <c r="B29">
        <v>1</v>
      </c>
      <c r="C29">
        <v>28</v>
      </c>
      <c r="D29">
        <v>28</v>
      </c>
      <c r="E29" t="s">
        <v>43</v>
      </c>
      <c r="F29" t="s">
        <v>448</v>
      </c>
      <c r="G29" t="s">
        <v>9</v>
      </c>
      <c r="H29">
        <v>1.6</v>
      </c>
      <c r="N29">
        <v>15</v>
      </c>
      <c r="O29">
        <v>5</v>
      </c>
      <c r="P29">
        <v>1</v>
      </c>
      <c r="Q29">
        <v>2.8</v>
      </c>
      <c r="R29">
        <v>1.1000000000000001</v>
      </c>
      <c r="S29">
        <v>0</v>
      </c>
      <c r="T29" t="s">
        <v>52</v>
      </c>
      <c r="U29">
        <f t="shared" si="0"/>
        <v>1</v>
      </c>
      <c r="V29" t="str">
        <f t="shared" si="1"/>
        <v>MLB</v>
      </c>
      <c r="W29" t="s">
        <v>1610</v>
      </c>
    </row>
    <row r="30" spans="1:23">
      <c r="A30">
        <v>2014</v>
      </c>
      <c r="B30">
        <v>1</v>
      </c>
      <c r="C30">
        <v>29</v>
      </c>
      <c r="D30">
        <v>29</v>
      </c>
      <c r="E30" t="s">
        <v>35</v>
      </c>
      <c r="F30" t="s">
        <v>449</v>
      </c>
      <c r="G30" t="s">
        <v>5</v>
      </c>
      <c r="H30">
        <v>-0.3</v>
      </c>
      <c r="I30">
        <v>135</v>
      </c>
      <c r="J30">
        <v>234</v>
      </c>
      <c r="K30">
        <v>2</v>
      </c>
      <c r="L30">
        <v>0.22600000000000001</v>
      </c>
      <c r="M30">
        <v>0.63</v>
      </c>
      <c r="T30" t="s">
        <v>34</v>
      </c>
      <c r="U30">
        <f t="shared" si="0"/>
        <v>0</v>
      </c>
      <c r="V30" t="str">
        <f t="shared" si="1"/>
        <v>MLB</v>
      </c>
      <c r="W30" t="s">
        <v>1611</v>
      </c>
    </row>
    <row r="31" spans="1:23">
      <c r="A31">
        <v>2014</v>
      </c>
      <c r="B31">
        <v>1</v>
      </c>
      <c r="C31">
        <v>30</v>
      </c>
      <c r="D31">
        <v>30</v>
      </c>
      <c r="E31" t="s">
        <v>93</v>
      </c>
      <c r="F31" t="s">
        <v>450</v>
      </c>
      <c r="G31" t="s">
        <v>8</v>
      </c>
      <c r="H31">
        <v>0</v>
      </c>
      <c r="N31">
        <v>24</v>
      </c>
      <c r="O31">
        <v>0</v>
      </c>
      <c r="P31">
        <v>2</v>
      </c>
      <c r="Q31">
        <v>4.76</v>
      </c>
      <c r="R31">
        <v>1.71</v>
      </c>
      <c r="S31">
        <v>1</v>
      </c>
      <c r="T31" t="s">
        <v>52</v>
      </c>
      <c r="U31">
        <f t="shared" si="0"/>
        <v>1</v>
      </c>
      <c r="V31" t="str">
        <f t="shared" si="1"/>
        <v>MLB</v>
      </c>
      <c r="W31" t="s">
        <v>1612</v>
      </c>
    </row>
    <row r="32" spans="1:23">
      <c r="A32">
        <v>2014</v>
      </c>
      <c r="B32">
        <v>1</v>
      </c>
      <c r="C32">
        <v>31</v>
      </c>
      <c r="D32">
        <v>31</v>
      </c>
      <c r="E32" t="s">
        <v>206</v>
      </c>
      <c r="F32" t="s">
        <v>451</v>
      </c>
      <c r="G32" t="s">
        <v>9</v>
      </c>
      <c r="H32">
        <v>-0.9</v>
      </c>
      <c r="N32">
        <v>48</v>
      </c>
      <c r="O32">
        <v>12</v>
      </c>
      <c r="P32">
        <v>12</v>
      </c>
      <c r="Q32">
        <v>5.47</v>
      </c>
      <c r="R32">
        <v>1.63</v>
      </c>
      <c r="S32">
        <v>0</v>
      </c>
      <c r="T32" t="s">
        <v>52</v>
      </c>
      <c r="U32">
        <f t="shared" si="0"/>
        <v>1</v>
      </c>
      <c r="V32" t="str">
        <f t="shared" si="1"/>
        <v>MLB</v>
      </c>
      <c r="W32" t="s">
        <v>1613</v>
      </c>
    </row>
    <row r="33" spans="1:23">
      <c r="A33">
        <v>2014</v>
      </c>
      <c r="B33">
        <v>1</v>
      </c>
      <c r="C33">
        <v>32</v>
      </c>
      <c r="D33">
        <v>32</v>
      </c>
      <c r="E33" t="s">
        <v>81</v>
      </c>
      <c r="F33" t="s">
        <v>452</v>
      </c>
      <c r="G33" t="s">
        <v>2</v>
      </c>
      <c r="T33" t="s">
        <v>52</v>
      </c>
      <c r="U33">
        <f t="shared" si="0"/>
        <v>1</v>
      </c>
      <c r="V33" t="s">
        <v>14</v>
      </c>
      <c r="W33">
        <v>-9999</v>
      </c>
    </row>
    <row r="34" spans="1:23">
      <c r="A34">
        <v>2014</v>
      </c>
      <c r="B34">
        <v>1</v>
      </c>
      <c r="C34">
        <v>33</v>
      </c>
      <c r="D34">
        <v>33</v>
      </c>
      <c r="E34" t="s">
        <v>57</v>
      </c>
      <c r="F34" t="s">
        <v>453</v>
      </c>
      <c r="G34" t="s">
        <v>8</v>
      </c>
      <c r="H34">
        <v>6</v>
      </c>
      <c r="N34">
        <v>184</v>
      </c>
      <c r="O34">
        <v>21</v>
      </c>
      <c r="P34">
        <v>33</v>
      </c>
      <c r="Q34">
        <v>4.1399999999999997</v>
      </c>
      <c r="R34">
        <v>1.33</v>
      </c>
      <c r="S34">
        <v>15</v>
      </c>
      <c r="T34" t="s">
        <v>52</v>
      </c>
      <c r="U34">
        <f t="shared" si="0"/>
        <v>1</v>
      </c>
      <c r="V34" t="str">
        <f t="shared" si="1"/>
        <v>MLB</v>
      </c>
      <c r="W34" t="s">
        <v>1614</v>
      </c>
    </row>
    <row r="35" spans="1:23">
      <c r="A35">
        <v>2014</v>
      </c>
      <c r="B35">
        <v>1</v>
      </c>
      <c r="C35">
        <v>34</v>
      </c>
      <c r="D35">
        <v>34</v>
      </c>
      <c r="E35" t="s">
        <v>46</v>
      </c>
      <c r="F35" t="s">
        <v>454</v>
      </c>
      <c r="G35" t="s">
        <v>8</v>
      </c>
      <c r="H35">
        <v>13.9</v>
      </c>
      <c r="N35">
        <v>199</v>
      </c>
      <c r="O35">
        <v>63</v>
      </c>
      <c r="P35">
        <v>60</v>
      </c>
      <c r="Q35">
        <v>3.87</v>
      </c>
      <c r="R35">
        <v>1.22</v>
      </c>
      <c r="S35">
        <v>0</v>
      </c>
      <c r="T35" t="s">
        <v>52</v>
      </c>
      <c r="U35">
        <f t="shared" si="0"/>
        <v>1</v>
      </c>
      <c r="V35" t="str">
        <f t="shared" si="1"/>
        <v>MLB</v>
      </c>
      <c r="W35" t="s">
        <v>1615</v>
      </c>
    </row>
    <row r="36" spans="1:23">
      <c r="A36">
        <v>2014</v>
      </c>
      <c r="B36">
        <v>1</v>
      </c>
      <c r="C36">
        <v>35</v>
      </c>
      <c r="D36">
        <v>35</v>
      </c>
      <c r="E36" t="s">
        <v>37</v>
      </c>
      <c r="F36" t="s">
        <v>455</v>
      </c>
      <c r="G36" t="s">
        <v>0</v>
      </c>
      <c r="H36">
        <v>0.4</v>
      </c>
      <c r="I36">
        <v>31</v>
      </c>
      <c r="J36">
        <v>45</v>
      </c>
      <c r="K36">
        <v>1</v>
      </c>
      <c r="L36">
        <v>0.311</v>
      </c>
      <c r="M36">
        <v>0.80200000000000005</v>
      </c>
      <c r="T36" t="s">
        <v>52</v>
      </c>
      <c r="U36">
        <f t="shared" si="0"/>
        <v>1</v>
      </c>
      <c r="V36" t="str">
        <f t="shared" si="1"/>
        <v>MLB</v>
      </c>
      <c r="W36" t="s">
        <v>1616</v>
      </c>
    </row>
    <row r="37" spans="1:23">
      <c r="A37">
        <v>2014</v>
      </c>
      <c r="B37">
        <v>1</v>
      </c>
      <c r="C37">
        <v>36</v>
      </c>
      <c r="D37">
        <v>36</v>
      </c>
      <c r="E37" t="s">
        <v>65</v>
      </c>
      <c r="F37" t="s">
        <v>456</v>
      </c>
      <c r="G37" t="s">
        <v>6</v>
      </c>
      <c r="T37" t="s">
        <v>52</v>
      </c>
      <c r="U37">
        <f t="shared" si="0"/>
        <v>1</v>
      </c>
      <c r="V37" t="s">
        <v>1112</v>
      </c>
      <c r="W37">
        <v>-9999</v>
      </c>
    </row>
    <row r="38" spans="1:23">
      <c r="A38">
        <v>2014</v>
      </c>
      <c r="B38">
        <v>1</v>
      </c>
      <c r="C38">
        <v>37</v>
      </c>
      <c r="D38">
        <v>37</v>
      </c>
      <c r="E38" t="s">
        <v>89</v>
      </c>
      <c r="F38" t="s">
        <v>457</v>
      </c>
      <c r="G38" t="s">
        <v>2</v>
      </c>
      <c r="H38">
        <v>0.3</v>
      </c>
      <c r="I38">
        <v>172</v>
      </c>
      <c r="J38">
        <v>410</v>
      </c>
      <c r="K38">
        <v>17</v>
      </c>
      <c r="L38">
        <v>0.19500000000000001</v>
      </c>
      <c r="M38">
        <v>0.66300000000000003</v>
      </c>
      <c r="T38" t="s">
        <v>34</v>
      </c>
      <c r="U38">
        <f t="shared" si="0"/>
        <v>0</v>
      </c>
      <c r="V38" t="str">
        <f t="shared" si="1"/>
        <v>MLB</v>
      </c>
      <c r="W38" t="s">
        <v>1617</v>
      </c>
    </row>
    <row r="39" spans="1:23">
      <c r="A39">
        <v>2014</v>
      </c>
      <c r="B39">
        <v>1</v>
      </c>
      <c r="C39">
        <v>38</v>
      </c>
      <c r="D39">
        <v>38</v>
      </c>
      <c r="E39" t="s">
        <v>206</v>
      </c>
      <c r="F39" t="s">
        <v>458</v>
      </c>
      <c r="G39" t="s">
        <v>2</v>
      </c>
      <c r="T39" t="s">
        <v>34</v>
      </c>
      <c r="U39">
        <f t="shared" si="0"/>
        <v>0</v>
      </c>
      <c r="V39" t="s">
        <v>12</v>
      </c>
      <c r="W39">
        <v>-9999</v>
      </c>
    </row>
    <row r="40" spans="1:23">
      <c r="A40">
        <v>2014</v>
      </c>
      <c r="B40">
        <v>1</v>
      </c>
      <c r="C40">
        <v>39</v>
      </c>
      <c r="D40">
        <v>39</v>
      </c>
      <c r="E40" t="s">
        <v>50</v>
      </c>
      <c r="F40" t="s">
        <v>459</v>
      </c>
      <c r="G40" t="s">
        <v>2</v>
      </c>
      <c r="H40">
        <v>3.3</v>
      </c>
      <c r="I40">
        <v>493</v>
      </c>
      <c r="J40">
        <v>1472</v>
      </c>
      <c r="K40">
        <v>36</v>
      </c>
      <c r="L40">
        <v>0.23899999999999999</v>
      </c>
      <c r="M40">
        <v>0.71699999999999997</v>
      </c>
      <c r="T40" t="s">
        <v>34</v>
      </c>
      <c r="U40">
        <f t="shared" si="0"/>
        <v>0</v>
      </c>
      <c r="V40" t="str">
        <f t="shared" si="1"/>
        <v>MLB</v>
      </c>
      <c r="W40" t="s">
        <v>1618</v>
      </c>
    </row>
    <row r="41" spans="1:23">
      <c r="A41">
        <v>2014</v>
      </c>
      <c r="B41">
        <v>1</v>
      </c>
      <c r="C41">
        <v>40</v>
      </c>
      <c r="D41">
        <v>40</v>
      </c>
      <c r="E41" t="s">
        <v>43</v>
      </c>
      <c r="F41" t="s">
        <v>460</v>
      </c>
      <c r="G41" t="s">
        <v>6</v>
      </c>
      <c r="T41" t="s">
        <v>52</v>
      </c>
      <c r="U41">
        <f t="shared" si="0"/>
        <v>1</v>
      </c>
      <c r="V41" t="s">
        <v>14</v>
      </c>
      <c r="W41">
        <v>-9999</v>
      </c>
    </row>
    <row r="42" spans="1:23">
      <c r="A42">
        <v>2014</v>
      </c>
      <c r="B42">
        <v>1</v>
      </c>
      <c r="C42">
        <v>41</v>
      </c>
      <c r="D42">
        <v>41</v>
      </c>
      <c r="E42" t="s">
        <v>67</v>
      </c>
      <c r="F42" t="s">
        <v>461</v>
      </c>
      <c r="G42" t="s">
        <v>5</v>
      </c>
      <c r="T42" t="s">
        <v>52</v>
      </c>
      <c r="U42">
        <f t="shared" si="0"/>
        <v>1</v>
      </c>
      <c r="V42" t="s">
        <v>12</v>
      </c>
      <c r="W42">
        <v>-9999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5CADF-F15F-42CF-8CA8-50C97BB8A6CF}">
  <dimension ref="A1:W43"/>
  <sheetViews>
    <sheetView topLeftCell="C1" workbookViewId="0">
      <selection activeCell="X1" sqref="X1"/>
    </sheetView>
  </sheetViews>
  <sheetFormatPr defaultRowHeight="14.5"/>
  <cols>
    <col min="1" max="1" width="4.81640625" bestFit="1" customWidth="1"/>
    <col min="3" max="3" width="6" bestFit="1" customWidth="1"/>
    <col min="4" max="4" width="5.90625" bestFit="1" customWidth="1"/>
    <col min="5" max="5" width="13" bestFit="1" customWidth="1"/>
    <col min="6" max="6" width="23.90625" bestFit="1" customWidth="1"/>
    <col min="7" max="7" width="4.26953125" bestFit="1" customWidth="1"/>
    <col min="8" max="10" width="4.81640625" bestFit="1" customWidth="1"/>
    <col min="11" max="11" width="3.81640625" bestFit="1" customWidth="1"/>
    <col min="12" max="13" width="5.81640625" bestFit="1" customWidth="1"/>
    <col min="14" max="14" width="3.81640625" bestFit="1" customWidth="1"/>
    <col min="15" max="16" width="2.81640625" bestFit="1" customWidth="1"/>
    <col min="17" max="17" width="4.81640625" bestFit="1" customWidth="1"/>
    <col min="18" max="18" width="5.26953125" bestFit="1" customWidth="1"/>
    <col min="19" max="19" width="2.90625" bestFit="1" customWidth="1"/>
    <col min="20" max="20" width="4.54296875" bestFit="1" customWidth="1"/>
    <col min="21" max="21" width="4" bestFit="1" customWidth="1"/>
  </cols>
  <sheetData>
    <row r="1" spans="1:23">
      <c r="A1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>
        <v>2015</v>
      </c>
      <c r="B2">
        <v>1</v>
      </c>
      <c r="C2">
        <v>1</v>
      </c>
      <c r="D2">
        <v>1</v>
      </c>
      <c r="E2" t="s">
        <v>91</v>
      </c>
      <c r="F2" t="s">
        <v>380</v>
      </c>
      <c r="G2" t="s">
        <v>5</v>
      </c>
      <c r="H2">
        <v>29.2</v>
      </c>
      <c r="I2">
        <v>1324</v>
      </c>
      <c r="J2">
        <v>4871</v>
      </c>
      <c r="K2">
        <v>170</v>
      </c>
      <c r="L2">
        <v>0.249</v>
      </c>
      <c r="M2">
        <v>0.73</v>
      </c>
      <c r="T2" t="s">
        <v>34</v>
      </c>
      <c r="U2">
        <f>IF(ISNUMBER(SEARCH("HS",T2)),1,0)</f>
        <v>0</v>
      </c>
      <c r="V2" t="str">
        <f>IF(ISNUMBER(H2),"MLB","")</f>
        <v>MLB</v>
      </c>
      <c r="W2" t="s">
        <v>1619</v>
      </c>
    </row>
    <row r="3" spans="1:23">
      <c r="A3">
        <v>2015</v>
      </c>
      <c r="B3">
        <v>1</v>
      </c>
      <c r="C3">
        <v>2</v>
      </c>
      <c r="D3">
        <v>2</v>
      </c>
      <c r="E3" t="s">
        <v>89</v>
      </c>
      <c r="F3" t="s">
        <v>381</v>
      </c>
      <c r="G3" t="s">
        <v>5</v>
      </c>
      <c r="H3">
        <v>43.7</v>
      </c>
      <c r="I3">
        <v>1267</v>
      </c>
      <c r="J3">
        <v>4757</v>
      </c>
      <c r="K3">
        <v>213</v>
      </c>
      <c r="L3">
        <v>0.27100000000000002</v>
      </c>
      <c r="M3">
        <v>0.84</v>
      </c>
      <c r="T3" t="s">
        <v>34</v>
      </c>
      <c r="U3">
        <f t="shared" ref="U3:U43" si="0">IF(ISNUMBER(SEARCH("HS",T3)),1,0)</f>
        <v>0</v>
      </c>
      <c r="V3" t="str">
        <f t="shared" ref="V3:V43" si="1">IF(ISNUMBER(H3),"MLB","")</f>
        <v>MLB</v>
      </c>
      <c r="W3" t="s">
        <v>1620</v>
      </c>
    </row>
    <row r="4" spans="1:23">
      <c r="A4">
        <v>2015</v>
      </c>
      <c r="B4">
        <v>1</v>
      </c>
      <c r="C4">
        <v>3</v>
      </c>
      <c r="D4">
        <v>3</v>
      </c>
      <c r="E4" t="s">
        <v>37</v>
      </c>
      <c r="F4" t="s">
        <v>382</v>
      </c>
      <c r="G4" t="s">
        <v>5</v>
      </c>
      <c r="H4">
        <v>5.7</v>
      </c>
      <c r="I4">
        <v>495</v>
      </c>
      <c r="J4">
        <v>1805</v>
      </c>
      <c r="K4">
        <v>47</v>
      </c>
      <c r="L4">
        <v>0.26100000000000001</v>
      </c>
      <c r="M4">
        <v>0.71399999999999997</v>
      </c>
      <c r="T4" t="s">
        <v>52</v>
      </c>
      <c r="U4">
        <f t="shared" si="0"/>
        <v>1</v>
      </c>
      <c r="V4" t="str">
        <f t="shared" si="1"/>
        <v>MLB</v>
      </c>
      <c r="W4" t="s">
        <v>1621</v>
      </c>
    </row>
    <row r="5" spans="1:23">
      <c r="A5">
        <v>2015</v>
      </c>
      <c r="B5">
        <v>1</v>
      </c>
      <c r="C5">
        <v>4</v>
      </c>
      <c r="D5">
        <v>4</v>
      </c>
      <c r="E5" t="s">
        <v>93</v>
      </c>
      <c r="F5" t="s">
        <v>383</v>
      </c>
      <c r="G5" t="s">
        <v>8</v>
      </c>
      <c r="H5">
        <v>2.2000000000000002</v>
      </c>
      <c r="N5">
        <v>196</v>
      </c>
      <c r="O5">
        <v>7</v>
      </c>
      <c r="P5">
        <v>14</v>
      </c>
      <c r="Q5">
        <v>4.09</v>
      </c>
      <c r="R5">
        <v>1.2</v>
      </c>
      <c r="S5">
        <v>9</v>
      </c>
      <c r="T5" t="s">
        <v>34</v>
      </c>
      <c r="U5">
        <f t="shared" si="0"/>
        <v>0</v>
      </c>
      <c r="V5" t="str">
        <f t="shared" si="1"/>
        <v>MLB</v>
      </c>
      <c r="W5" t="s">
        <v>1622</v>
      </c>
    </row>
    <row r="6" spans="1:23">
      <c r="A6">
        <v>2015</v>
      </c>
      <c r="B6">
        <v>1</v>
      </c>
      <c r="C6">
        <v>5</v>
      </c>
      <c r="D6">
        <v>5</v>
      </c>
      <c r="E6" t="s">
        <v>89</v>
      </c>
      <c r="F6" t="s">
        <v>384</v>
      </c>
      <c r="G6" t="s">
        <v>2</v>
      </c>
      <c r="H6">
        <v>28.2</v>
      </c>
      <c r="I6">
        <v>811</v>
      </c>
      <c r="J6">
        <v>2895</v>
      </c>
      <c r="K6">
        <v>151</v>
      </c>
      <c r="L6">
        <v>0.27200000000000002</v>
      </c>
      <c r="M6">
        <v>0.86</v>
      </c>
      <c r="T6" t="s">
        <v>52</v>
      </c>
      <c r="U6">
        <f t="shared" si="0"/>
        <v>1</v>
      </c>
      <c r="V6" t="str">
        <f t="shared" si="1"/>
        <v>MLB</v>
      </c>
      <c r="W6" t="s">
        <v>1623</v>
      </c>
    </row>
    <row r="7" spans="1:23">
      <c r="A7">
        <v>2015</v>
      </c>
      <c r="B7">
        <v>1</v>
      </c>
      <c r="C7">
        <v>6</v>
      </c>
      <c r="D7">
        <v>6</v>
      </c>
      <c r="E7" t="s">
        <v>75</v>
      </c>
      <c r="F7" t="s">
        <v>385</v>
      </c>
      <c r="G7" t="s">
        <v>9</v>
      </c>
      <c r="H7">
        <v>0</v>
      </c>
      <c r="N7">
        <v>5</v>
      </c>
      <c r="O7">
        <v>0</v>
      </c>
      <c r="P7">
        <v>0</v>
      </c>
      <c r="Q7">
        <v>4.7</v>
      </c>
      <c r="R7">
        <v>1.96</v>
      </c>
      <c r="S7">
        <v>0</v>
      </c>
      <c r="T7" t="s">
        <v>34</v>
      </c>
      <c r="U7">
        <f t="shared" si="0"/>
        <v>0</v>
      </c>
      <c r="V7" t="str">
        <f t="shared" si="1"/>
        <v>MLB</v>
      </c>
      <c r="W7" t="s">
        <v>1624</v>
      </c>
    </row>
    <row r="8" spans="1:23">
      <c r="A8">
        <v>2015</v>
      </c>
      <c r="B8">
        <v>1</v>
      </c>
      <c r="C8">
        <v>7</v>
      </c>
      <c r="D8">
        <v>7</v>
      </c>
      <c r="E8" t="s">
        <v>57</v>
      </c>
      <c r="F8" t="s">
        <v>386</v>
      </c>
      <c r="G8" t="s">
        <v>2</v>
      </c>
      <c r="H8">
        <v>15.7</v>
      </c>
      <c r="I8">
        <v>1185</v>
      </c>
      <c r="J8">
        <v>4370</v>
      </c>
      <c r="K8">
        <v>120</v>
      </c>
      <c r="L8">
        <v>0.26600000000000001</v>
      </c>
      <c r="M8">
        <v>0.75</v>
      </c>
      <c r="T8" t="s">
        <v>34</v>
      </c>
      <c r="U8">
        <f t="shared" si="0"/>
        <v>0</v>
      </c>
      <c r="V8" t="str">
        <f t="shared" si="1"/>
        <v>MLB</v>
      </c>
      <c r="W8" t="s">
        <v>1625</v>
      </c>
    </row>
    <row r="9" spans="1:23">
      <c r="A9">
        <v>2015</v>
      </c>
      <c r="B9">
        <v>1</v>
      </c>
      <c r="C9">
        <v>8</v>
      </c>
      <c r="D9">
        <v>8</v>
      </c>
      <c r="E9" t="s">
        <v>41</v>
      </c>
      <c r="F9" t="s">
        <v>387</v>
      </c>
      <c r="G9" t="s">
        <v>8</v>
      </c>
      <c r="H9">
        <v>-0.2</v>
      </c>
      <c r="N9">
        <v>127</v>
      </c>
      <c r="O9">
        <v>7</v>
      </c>
      <c r="P9">
        <v>15</v>
      </c>
      <c r="Q9">
        <v>5.44</v>
      </c>
      <c r="R9">
        <v>1.46</v>
      </c>
      <c r="S9">
        <v>0</v>
      </c>
      <c r="T9" t="s">
        <v>34</v>
      </c>
      <c r="U9">
        <f t="shared" si="0"/>
        <v>0</v>
      </c>
      <c r="V9" t="str">
        <f t="shared" si="1"/>
        <v>MLB</v>
      </c>
      <c r="W9" t="s">
        <v>1626</v>
      </c>
    </row>
    <row r="10" spans="1:23">
      <c r="A10">
        <v>2015</v>
      </c>
      <c r="B10">
        <v>1</v>
      </c>
      <c r="C10">
        <v>9</v>
      </c>
      <c r="D10">
        <v>9</v>
      </c>
      <c r="E10" t="s">
        <v>61</v>
      </c>
      <c r="F10" t="s">
        <v>388</v>
      </c>
      <c r="G10" t="s">
        <v>2</v>
      </c>
      <c r="H10">
        <v>24.1</v>
      </c>
      <c r="I10">
        <v>1180</v>
      </c>
      <c r="J10">
        <v>3996</v>
      </c>
      <c r="K10">
        <v>182</v>
      </c>
      <c r="L10">
        <v>0.246</v>
      </c>
      <c r="M10">
        <v>0.79100000000000004</v>
      </c>
      <c r="T10" t="s">
        <v>34</v>
      </c>
      <c r="U10">
        <f t="shared" si="0"/>
        <v>0</v>
      </c>
      <c r="V10" t="str">
        <f t="shared" si="1"/>
        <v>MLB</v>
      </c>
      <c r="W10" t="s">
        <v>1627</v>
      </c>
    </row>
    <row r="11" spans="1:23">
      <c r="A11">
        <v>2015</v>
      </c>
      <c r="B11">
        <v>1</v>
      </c>
      <c r="C11">
        <v>10</v>
      </c>
      <c r="D11">
        <v>10</v>
      </c>
      <c r="E11" t="s">
        <v>87</v>
      </c>
      <c r="F11" t="s">
        <v>389</v>
      </c>
      <c r="G11" t="s">
        <v>5</v>
      </c>
      <c r="T11" t="s">
        <v>52</v>
      </c>
      <c r="U11">
        <f t="shared" si="0"/>
        <v>1</v>
      </c>
      <c r="V11" t="s">
        <v>12</v>
      </c>
      <c r="W11">
        <v>-9999</v>
      </c>
    </row>
    <row r="12" spans="1:23">
      <c r="A12">
        <v>2015</v>
      </c>
      <c r="B12">
        <v>1</v>
      </c>
      <c r="C12">
        <v>11</v>
      </c>
      <c r="D12">
        <v>11</v>
      </c>
      <c r="E12" t="s">
        <v>35</v>
      </c>
      <c r="F12" t="s">
        <v>390</v>
      </c>
      <c r="G12" t="s">
        <v>6</v>
      </c>
      <c r="H12">
        <v>8.3000000000000007</v>
      </c>
      <c r="I12">
        <v>593</v>
      </c>
      <c r="J12">
        <v>1861</v>
      </c>
      <c r="K12">
        <v>66</v>
      </c>
      <c r="L12">
        <v>0.25700000000000001</v>
      </c>
      <c r="M12">
        <v>0.754</v>
      </c>
      <c r="T12" t="s">
        <v>52</v>
      </c>
      <c r="U12">
        <f t="shared" si="0"/>
        <v>1</v>
      </c>
      <c r="V12" t="str">
        <f t="shared" si="1"/>
        <v>MLB</v>
      </c>
      <c r="W12" t="s">
        <v>1628</v>
      </c>
    </row>
    <row r="13" spans="1:23">
      <c r="A13">
        <v>2015</v>
      </c>
      <c r="B13">
        <v>1</v>
      </c>
      <c r="C13">
        <v>12</v>
      </c>
      <c r="D13">
        <v>12</v>
      </c>
      <c r="E13" t="s">
        <v>65</v>
      </c>
      <c r="F13" t="s">
        <v>391</v>
      </c>
      <c r="G13" t="s">
        <v>3</v>
      </c>
      <c r="H13">
        <v>8.1999999999999993</v>
      </c>
      <c r="I13">
        <v>786</v>
      </c>
      <c r="J13">
        <v>2752</v>
      </c>
      <c r="K13">
        <v>109</v>
      </c>
      <c r="L13">
        <v>0.26800000000000002</v>
      </c>
      <c r="M13">
        <v>0.77100000000000002</v>
      </c>
      <c r="T13" t="s">
        <v>52</v>
      </c>
      <c r="U13">
        <f t="shared" si="0"/>
        <v>1</v>
      </c>
      <c r="V13" t="str">
        <f t="shared" si="1"/>
        <v>MLB</v>
      </c>
      <c r="W13" t="s">
        <v>1629</v>
      </c>
    </row>
    <row r="14" spans="1:23">
      <c r="A14">
        <v>2015</v>
      </c>
      <c r="B14">
        <v>1</v>
      </c>
      <c r="C14">
        <v>13</v>
      </c>
      <c r="D14">
        <v>13</v>
      </c>
      <c r="E14" t="s">
        <v>69</v>
      </c>
      <c r="F14" t="s">
        <v>392</v>
      </c>
      <c r="G14" t="s">
        <v>2</v>
      </c>
      <c r="T14" t="s">
        <v>52</v>
      </c>
      <c r="U14">
        <f t="shared" si="0"/>
        <v>1</v>
      </c>
      <c r="V14" t="s">
        <v>12</v>
      </c>
      <c r="W14">
        <v>-9999</v>
      </c>
    </row>
    <row r="15" spans="1:23">
      <c r="A15">
        <v>2015</v>
      </c>
      <c r="B15">
        <v>1</v>
      </c>
      <c r="C15">
        <v>14</v>
      </c>
      <c r="D15">
        <v>14</v>
      </c>
      <c r="E15" t="s">
        <v>81</v>
      </c>
      <c r="F15" t="s">
        <v>393</v>
      </c>
      <c r="G15" t="s">
        <v>9</v>
      </c>
      <c r="H15">
        <v>-0.4</v>
      </c>
      <c r="N15">
        <v>113</v>
      </c>
      <c r="O15">
        <v>13</v>
      </c>
      <c r="P15">
        <v>26</v>
      </c>
      <c r="Q15">
        <v>5.47</v>
      </c>
      <c r="R15">
        <v>1.42</v>
      </c>
      <c r="S15">
        <v>1</v>
      </c>
      <c r="T15" t="s">
        <v>52</v>
      </c>
      <c r="U15">
        <f t="shared" si="0"/>
        <v>1</v>
      </c>
      <c r="V15" t="str">
        <f t="shared" si="1"/>
        <v>MLB</v>
      </c>
      <c r="W15" t="s">
        <v>1630</v>
      </c>
    </row>
    <row r="16" spans="1:23">
      <c r="A16">
        <v>2015</v>
      </c>
      <c r="B16">
        <v>1</v>
      </c>
      <c r="C16">
        <v>15</v>
      </c>
      <c r="D16">
        <v>15</v>
      </c>
      <c r="E16" t="s">
        <v>67</v>
      </c>
      <c r="F16" t="s">
        <v>394</v>
      </c>
      <c r="G16" t="s">
        <v>2</v>
      </c>
      <c r="H16">
        <v>14.6</v>
      </c>
      <c r="I16">
        <v>809</v>
      </c>
      <c r="J16">
        <v>2563</v>
      </c>
      <c r="K16">
        <v>110</v>
      </c>
      <c r="L16">
        <v>0.215</v>
      </c>
      <c r="M16">
        <v>0.71799999999999997</v>
      </c>
      <c r="T16" t="s">
        <v>52</v>
      </c>
      <c r="U16">
        <f t="shared" si="0"/>
        <v>1</v>
      </c>
      <c r="V16" t="str">
        <f t="shared" si="1"/>
        <v>MLB</v>
      </c>
      <c r="W16" t="s">
        <v>1631</v>
      </c>
    </row>
    <row r="17" spans="1:23">
      <c r="A17">
        <v>2015</v>
      </c>
      <c r="B17">
        <v>1</v>
      </c>
      <c r="C17">
        <v>16</v>
      </c>
      <c r="D17">
        <v>16</v>
      </c>
      <c r="E17" t="s">
        <v>85</v>
      </c>
      <c r="F17" t="s">
        <v>395</v>
      </c>
      <c r="G17" t="s">
        <v>8</v>
      </c>
      <c r="H17">
        <v>2.4</v>
      </c>
      <c r="N17">
        <v>66</v>
      </c>
      <c r="O17">
        <v>15</v>
      </c>
      <c r="P17">
        <v>20</v>
      </c>
      <c r="Q17">
        <v>4.6100000000000003</v>
      </c>
      <c r="R17">
        <v>1.35</v>
      </c>
      <c r="S17">
        <v>0</v>
      </c>
      <c r="T17" t="s">
        <v>34</v>
      </c>
      <c r="U17">
        <f t="shared" si="0"/>
        <v>0</v>
      </c>
      <c r="V17" t="str">
        <f t="shared" si="1"/>
        <v>MLB</v>
      </c>
      <c r="W17" t="s">
        <v>1632</v>
      </c>
    </row>
    <row r="18" spans="1:23">
      <c r="A18">
        <v>2015</v>
      </c>
      <c r="B18">
        <v>1</v>
      </c>
      <c r="C18">
        <v>17</v>
      </c>
      <c r="D18">
        <v>17</v>
      </c>
      <c r="E18" t="s">
        <v>206</v>
      </c>
      <c r="F18" t="s">
        <v>396</v>
      </c>
      <c r="G18" t="s">
        <v>9</v>
      </c>
      <c r="T18" t="s">
        <v>52</v>
      </c>
      <c r="U18">
        <f t="shared" si="0"/>
        <v>1</v>
      </c>
      <c r="V18" t="s">
        <v>1114</v>
      </c>
      <c r="W18">
        <v>-9999</v>
      </c>
    </row>
    <row r="19" spans="1:23">
      <c r="A19">
        <v>2015</v>
      </c>
      <c r="B19">
        <v>1</v>
      </c>
      <c r="C19">
        <v>18</v>
      </c>
      <c r="D19">
        <v>18</v>
      </c>
      <c r="E19" t="s">
        <v>59</v>
      </c>
      <c r="F19" t="s">
        <v>397</v>
      </c>
      <c r="G19" t="s">
        <v>8</v>
      </c>
      <c r="H19">
        <v>0.3</v>
      </c>
      <c r="N19">
        <v>187</v>
      </c>
      <c r="O19">
        <v>11</v>
      </c>
      <c r="P19">
        <v>8</v>
      </c>
      <c r="Q19">
        <v>4.62</v>
      </c>
      <c r="R19">
        <v>1.24</v>
      </c>
      <c r="S19">
        <v>2</v>
      </c>
      <c r="T19" t="s">
        <v>163</v>
      </c>
      <c r="U19">
        <f t="shared" si="0"/>
        <v>0</v>
      </c>
      <c r="V19" t="str">
        <f t="shared" si="1"/>
        <v>MLB</v>
      </c>
      <c r="W19" t="s">
        <v>1566</v>
      </c>
    </row>
    <row r="20" spans="1:23">
      <c r="A20">
        <v>2015</v>
      </c>
      <c r="B20">
        <v>1</v>
      </c>
      <c r="C20">
        <v>19</v>
      </c>
      <c r="D20">
        <v>19</v>
      </c>
      <c r="E20" t="s">
        <v>50</v>
      </c>
      <c r="F20" t="s">
        <v>398</v>
      </c>
      <c r="G20" t="s">
        <v>5</v>
      </c>
      <c r="H20">
        <v>4.2</v>
      </c>
      <c r="I20">
        <v>672</v>
      </c>
      <c r="J20">
        <v>2172</v>
      </c>
      <c r="K20">
        <v>28</v>
      </c>
      <c r="L20">
        <v>0.25900000000000001</v>
      </c>
      <c r="M20">
        <v>0.65600000000000003</v>
      </c>
      <c r="N20">
        <v>2</v>
      </c>
      <c r="O20">
        <v>0</v>
      </c>
      <c r="P20">
        <v>0</v>
      </c>
      <c r="Q20">
        <v>6.75</v>
      </c>
      <c r="R20">
        <v>1</v>
      </c>
      <c r="S20">
        <v>0</v>
      </c>
      <c r="T20" t="s">
        <v>34</v>
      </c>
      <c r="U20">
        <f t="shared" si="0"/>
        <v>0</v>
      </c>
      <c r="V20" t="str">
        <f t="shared" si="1"/>
        <v>MLB</v>
      </c>
      <c r="W20" t="s">
        <v>1633</v>
      </c>
    </row>
    <row r="21" spans="1:23">
      <c r="A21">
        <v>2015</v>
      </c>
      <c r="B21">
        <v>1</v>
      </c>
      <c r="C21">
        <v>20</v>
      </c>
      <c r="D21">
        <v>20</v>
      </c>
      <c r="E21" t="s">
        <v>39</v>
      </c>
      <c r="F21" t="s">
        <v>399</v>
      </c>
      <c r="G21" t="s">
        <v>5</v>
      </c>
      <c r="H21">
        <v>-1.9</v>
      </c>
      <c r="I21">
        <v>170</v>
      </c>
      <c r="J21">
        <v>411</v>
      </c>
      <c r="K21">
        <v>7</v>
      </c>
      <c r="L21">
        <v>0.21199999999999999</v>
      </c>
      <c r="M21">
        <v>0.57199999999999995</v>
      </c>
      <c r="T21" t="s">
        <v>34</v>
      </c>
      <c r="U21">
        <f t="shared" si="0"/>
        <v>0</v>
      </c>
      <c r="V21" t="str">
        <f t="shared" si="1"/>
        <v>MLB</v>
      </c>
      <c r="W21" t="s">
        <v>1634</v>
      </c>
    </row>
    <row r="22" spans="1:23">
      <c r="A22">
        <v>2015</v>
      </c>
      <c r="B22">
        <v>1</v>
      </c>
      <c r="C22">
        <v>21</v>
      </c>
      <c r="D22">
        <v>21</v>
      </c>
      <c r="E22" t="s">
        <v>43</v>
      </c>
      <c r="F22" t="s">
        <v>400</v>
      </c>
      <c r="G22" t="s">
        <v>8</v>
      </c>
      <c r="T22" t="s">
        <v>52</v>
      </c>
      <c r="U22">
        <f t="shared" si="0"/>
        <v>1</v>
      </c>
      <c r="V22" t="s">
        <v>1116</v>
      </c>
      <c r="W22">
        <v>-9999</v>
      </c>
    </row>
    <row r="23" spans="1:23">
      <c r="A23">
        <v>2015</v>
      </c>
      <c r="B23">
        <v>1</v>
      </c>
      <c r="C23">
        <v>22</v>
      </c>
      <c r="D23">
        <v>22</v>
      </c>
      <c r="E23" t="s">
        <v>55</v>
      </c>
      <c r="F23" t="s">
        <v>401</v>
      </c>
      <c r="G23" t="s">
        <v>8</v>
      </c>
      <c r="H23">
        <v>-0.7</v>
      </c>
      <c r="N23">
        <v>11</v>
      </c>
      <c r="O23">
        <v>0</v>
      </c>
      <c r="P23">
        <v>1</v>
      </c>
      <c r="Q23">
        <v>10.7</v>
      </c>
      <c r="R23">
        <v>1.98</v>
      </c>
      <c r="S23">
        <v>0</v>
      </c>
      <c r="T23" t="s">
        <v>52</v>
      </c>
      <c r="U23">
        <f t="shared" si="0"/>
        <v>1</v>
      </c>
      <c r="V23" t="str">
        <f t="shared" si="1"/>
        <v>MLB</v>
      </c>
      <c r="W23" t="s">
        <v>1635</v>
      </c>
    </row>
    <row r="24" spans="1:23">
      <c r="A24">
        <v>2015</v>
      </c>
      <c r="B24">
        <v>1</v>
      </c>
      <c r="C24">
        <v>23</v>
      </c>
      <c r="D24">
        <v>23</v>
      </c>
      <c r="E24" t="s">
        <v>46</v>
      </c>
      <c r="F24" t="s">
        <v>402</v>
      </c>
      <c r="G24" t="s">
        <v>2</v>
      </c>
      <c r="H24">
        <v>-0.1</v>
      </c>
      <c r="I24">
        <v>14</v>
      </c>
      <c r="J24">
        <v>29</v>
      </c>
      <c r="K24">
        <v>2</v>
      </c>
      <c r="L24">
        <v>0.13800000000000001</v>
      </c>
      <c r="M24">
        <v>0.57299999999999995</v>
      </c>
      <c r="T24" t="s">
        <v>52</v>
      </c>
      <c r="U24">
        <f t="shared" si="0"/>
        <v>1</v>
      </c>
      <c r="V24" t="str">
        <f t="shared" si="1"/>
        <v>MLB</v>
      </c>
      <c r="W24" t="s">
        <v>1636</v>
      </c>
    </row>
    <row r="25" spans="1:23">
      <c r="A25">
        <v>2015</v>
      </c>
      <c r="B25">
        <v>1</v>
      </c>
      <c r="C25">
        <v>24</v>
      </c>
      <c r="D25">
        <v>24</v>
      </c>
      <c r="E25" t="s">
        <v>79</v>
      </c>
      <c r="F25" t="s">
        <v>403</v>
      </c>
      <c r="G25" t="s">
        <v>8</v>
      </c>
      <c r="H25">
        <v>12.5</v>
      </c>
      <c r="N25">
        <v>165</v>
      </c>
      <c r="O25">
        <v>59</v>
      </c>
      <c r="P25">
        <v>31</v>
      </c>
      <c r="Q25">
        <v>3.59</v>
      </c>
      <c r="R25">
        <v>1.1599999999999999</v>
      </c>
      <c r="S25">
        <v>0</v>
      </c>
      <c r="T25" t="s">
        <v>34</v>
      </c>
      <c r="U25">
        <f t="shared" si="0"/>
        <v>0</v>
      </c>
      <c r="V25" t="str">
        <f t="shared" si="1"/>
        <v>MLB</v>
      </c>
      <c r="W25" t="s">
        <v>1637</v>
      </c>
    </row>
    <row r="26" spans="1:23">
      <c r="A26">
        <v>2015</v>
      </c>
      <c r="B26">
        <v>1</v>
      </c>
      <c r="C26">
        <v>25</v>
      </c>
      <c r="D26">
        <v>25</v>
      </c>
      <c r="E26" t="s">
        <v>77</v>
      </c>
      <c r="F26" t="s">
        <v>404</v>
      </c>
      <c r="G26" t="s">
        <v>2</v>
      </c>
      <c r="H26">
        <v>-0.1</v>
      </c>
      <c r="I26">
        <v>327</v>
      </c>
      <c r="J26">
        <v>845</v>
      </c>
      <c r="K26">
        <v>42</v>
      </c>
      <c r="L26">
        <v>0.21199999999999999</v>
      </c>
      <c r="M26">
        <v>0.72899999999999998</v>
      </c>
      <c r="T26" t="s">
        <v>34</v>
      </c>
      <c r="U26">
        <f t="shared" si="0"/>
        <v>0</v>
      </c>
      <c r="V26" t="str">
        <f t="shared" si="1"/>
        <v>MLB</v>
      </c>
      <c r="W26" t="s">
        <v>1638</v>
      </c>
    </row>
    <row r="27" spans="1:23">
      <c r="A27">
        <v>2015</v>
      </c>
      <c r="B27">
        <v>1</v>
      </c>
      <c r="C27">
        <v>26</v>
      </c>
      <c r="D27">
        <v>26</v>
      </c>
      <c r="E27" t="s">
        <v>48</v>
      </c>
      <c r="F27" t="s">
        <v>405</v>
      </c>
      <c r="G27" t="s">
        <v>6</v>
      </c>
      <c r="H27">
        <v>11</v>
      </c>
      <c r="I27">
        <v>747</v>
      </c>
      <c r="J27">
        <v>2645</v>
      </c>
      <c r="K27">
        <v>114</v>
      </c>
      <c r="L27">
        <v>0.248</v>
      </c>
      <c r="M27">
        <v>0.76900000000000002</v>
      </c>
      <c r="T27" t="s">
        <v>34</v>
      </c>
      <c r="U27">
        <f t="shared" si="0"/>
        <v>0</v>
      </c>
      <c r="V27" t="str">
        <f t="shared" si="1"/>
        <v>MLB</v>
      </c>
      <c r="W27" t="s">
        <v>1639</v>
      </c>
    </row>
    <row r="28" spans="1:23">
      <c r="A28">
        <v>2015</v>
      </c>
      <c r="B28">
        <v>1</v>
      </c>
      <c r="C28">
        <v>27</v>
      </c>
      <c r="D28">
        <v>27</v>
      </c>
      <c r="E28" t="s">
        <v>37</v>
      </c>
      <c r="F28" t="s">
        <v>406</v>
      </c>
      <c r="G28" t="s">
        <v>8</v>
      </c>
      <c r="T28" t="s">
        <v>52</v>
      </c>
      <c r="U28">
        <f t="shared" si="0"/>
        <v>1</v>
      </c>
      <c r="V28" t="s">
        <v>1114</v>
      </c>
      <c r="W28">
        <v>-9999</v>
      </c>
    </row>
    <row r="29" spans="1:23">
      <c r="A29">
        <v>2015</v>
      </c>
      <c r="B29">
        <v>1</v>
      </c>
      <c r="C29">
        <v>28</v>
      </c>
      <c r="D29">
        <v>28</v>
      </c>
      <c r="E29" t="s">
        <v>81</v>
      </c>
      <c r="F29" t="s">
        <v>407</v>
      </c>
      <c r="G29" t="s">
        <v>8</v>
      </c>
      <c r="H29">
        <v>7.6</v>
      </c>
      <c r="N29">
        <v>99</v>
      </c>
      <c r="O29">
        <v>25</v>
      </c>
      <c r="P29">
        <v>28</v>
      </c>
      <c r="Q29">
        <v>3.82</v>
      </c>
      <c r="R29">
        <v>1.23</v>
      </c>
      <c r="S29">
        <v>0</v>
      </c>
      <c r="T29" t="s">
        <v>52</v>
      </c>
      <c r="U29">
        <f t="shared" si="0"/>
        <v>1</v>
      </c>
      <c r="V29" t="str">
        <f t="shared" si="1"/>
        <v>MLB</v>
      </c>
      <c r="W29" t="s">
        <v>1640</v>
      </c>
    </row>
    <row r="30" spans="1:23">
      <c r="A30">
        <v>2015</v>
      </c>
      <c r="B30">
        <v>1</v>
      </c>
      <c r="C30">
        <v>29</v>
      </c>
      <c r="D30">
        <v>29</v>
      </c>
      <c r="E30" t="s">
        <v>73</v>
      </c>
      <c r="F30" t="s">
        <v>408</v>
      </c>
      <c r="G30" t="s">
        <v>8</v>
      </c>
      <c r="T30" t="s">
        <v>34</v>
      </c>
      <c r="U30">
        <f t="shared" si="0"/>
        <v>0</v>
      </c>
      <c r="V30" t="s">
        <v>12</v>
      </c>
      <c r="W30">
        <v>-9999</v>
      </c>
    </row>
    <row r="31" spans="1:23">
      <c r="A31">
        <v>2015</v>
      </c>
      <c r="B31">
        <v>1</v>
      </c>
      <c r="C31">
        <v>30</v>
      </c>
      <c r="D31">
        <v>30</v>
      </c>
      <c r="E31" t="s">
        <v>85</v>
      </c>
      <c r="F31" t="s">
        <v>409</v>
      </c>
      <c r="G31" t="s">
        <v>5</v>
      </c>
      <c r="T31" t="s">
        <v>34</v>
      </c>
      <c r="U31">
        <f t="shared" si="0"/>
        <v>0</v>
      </c>
      <c r="V31" t="s">
        <v>12</v>
      </c>
      <c r="W31">
        <v>-9999</v>
      </c>
    </row>
    <row r="32" spans="1:23">
      <c r="A32">
        <v>2015</v>
      </c>
      <c r="B32">
        <v>1</v>
      </c>
      <c r="C32">
        <v>31</v>
      </c>
      <c r="D32">
        <v>31</v>
      </c>
      <c r="E32" t="s">
        <v>59</v>
      </c>
      <c r="F32" t="s">
        <v>410</v>
      </c>
      <c r="G32" t="s">
        <v>3</v>
      </c>
      <c r="H32">
        <v>-0.9</v>
      </c>
      <c r="I32">
        <v>38</v>
      </c>
      <c r="J32">
        <v>72</v>
      </c>
      <c r="K32">
        <v>1</v>
      </c>
      <c r="L32">
        <v>0.153</v>
      </c>
      <c r="M32">
        <v>0.46600000000000003</v>
      </c>
      <c r="T32" t="s">
        <v>34</v>
      </c>
      <c r="U32">
        <f t="shared" si="0"/>
        <v>0</v>
      </c>
      <c r="V32" t="str">
        <f t="shared" si="1"/>
        <v>MLB</v>
      </c>
      <c r="W32" t="s">
        <v>1641</v>
      </c>
    </row>
    <row r="33" spans="1:23">
      <c r="A33">
        <v>2015</v>
      </c>
      <c r="B33">
        <v>1</v>
      </c>
      <c r="C33">
        <v>32</v>
      </c>
      <c r="D33">
        <v>32</v>
      </c>
      <c r="E33" t="s">
        <v>50</v>
      </c>
      <c r="F33" t="s">
        <v>411</v>
      </c>
      <c r="G33" t="s">
        <v>11</v>
      </c>
      <c r="H33">
        <v>14.8</v>
      </c>
      <c r="I33">
        <v>666</v>
      </c>
      <c r="J33">
        <v>2441</v>
      </c>
      <c r="K33">
        <v>44</v>
      </c>
      <c r="L33">
        <v>0.248</v>
      </c>
      <c r="M33">
        <v>0.66400000000000003</v>
      </c>
      <c r="T33" t="s">
        <v>52</v>
      </c>
      <c r="U33">
        <f t="shared" si="0"/>
        <v>1</v>
      </c>
      <c r="V33" t="str">
        <f t="shared" si="1"/>
        <v>MLB</v>
      </c>
      <c r="W33" t="s">
        <v>1642</v>
      </c>
    </row>
    <row r="34" spans="1:23">
      <c r="A34">
        <v>2015</v>
      </c>
      <c r="B34">
        <v>1</v>
      </c>
      <c r="C34">
        <v>33</v>
      </c>
      <c r="D34">
        <v>33</v>
      </c>
      <c r="E34" t="s">
        <v>43</v>
      </c>
      <c r="F34" t="s">
        <v>412</v>
      </c>
      <c r="G34" t="s">
        <v>8</v>
      </c>
      <c r="T34" t="s">
        <v>52</v>
      </c>
      <c r="U34">
        <f t="shared" si="0"/>
        <v>1</v>
      </c>
      <c r="V34" t="s">
        <v>12</v>
      </c>
      <c r="W34">
        <v>-9999</v>
      </c>
    </row>
    <row r="35" spans="1:23">
      <c r="A35">
        <v>2015</v>
      </c>
      <c r="B35">
        <v>1</v>
      </c>
      <c r="C35">
        <v>34</v>
      </c>
      <c r="D35">
        <v>34</v>
      </c>
      <c r="E35" t="s">
        <v>55</v>
      </c>
      <c r="F35" t="s">
        <v>413</v>
      </c>
      <c r="G35" t="s">
        <v>2</v>
      </c>
      <c r="H35">
        <v>-1.1000000000000001</v>
      </c>
      <c r="I35">
        <v>157</v>
      </c>
      <c r="J35">
        <v>519</v>
      </c>
      <c r="K35">
        <v>15</v>
      </c>
      <c r="L35">
        <v>0.22500000000000001</v>
      </c>
      <c r="M35">
        <v>0.67600000000000005</v>
      </c>
      <c r="T35" t="s">
        <v>34</v>
      </c>
      <c r="U35">
        <f t="shared" si="0"/>
        <v>0</v>
      </c>
      <c r="V35" t="str">
        <f t="shared" si="1"/>
        <v>MLB</v>
      </c>
      <c r="W35" t="s">
        <v>1643</v>
      </c>
    </row>
    <row r="36" spans="1:23">
      <c r="A36">
        <v>2015</v>
      </c>
      <c r="B36">
        <v>1</v>
      </c>
      <c r="C36">
        <v>35</v>
      </c>
      <c r="D36">
        <v>35</v>
      </c>
      <c r="E36" t="s">
        <v>79</v>
      </c>
      <c r="F36" t="s">
        <v>414</v>
      </c>
      <c r="G36" t="s">
        <v>8</v>
      </c>
      <c r="H36">
        <v>0.7</v>
      </c>
      <c r="N36">
        <v>70</v>
      </c>
      <c r="O36">
        <v>8</v>
      </c>
      <c r="P36">
        <v>5</v>
      </c>
      <c r="Q36">
        <v>4.2</v>
      </c>
      <c r="R36">
        <v>1.51</v>
      </c>
      <c r="S36">
        <v>1</v>
      </c>
      <c r="T36" t="s">
        <v>34</v>
      </c>
      <c r="U36">
        <f t="shared" si="0"/>
        <v>0</v>
      </c>
      <c r="V36" t="str">
        <f t="shared" si="1"/>
        <v>MLB</v>
      </c>
      <c r="W36" t="s">
        <v>1644</v>
      </c>
    </row>
    <row r="37" spans="1:23">
      <c r="A37">
        <v>2015</v>
      </c>
      <c r="B37">
        <v>1</v>
      </c>
      <c r="C37">
        <v>36</v>
      </c>
      <c r="D37">
        <v>36</v>
      </c>
      <c r="E37" t="s">
        <v>77</v>
      </c>
      <c r="F37" t="s">
        <v>415</v>
      </c>
      <c r="G37" t="s">
        <v>5</v>
      </c>
      <c r="H37">
        <v>7.7</v>
      </c>
      <c r="I37">
        <v>660</v>
      </c>
      <c r="J37">
        <v>2457</v>
      </c>
      <c r="K37">
        <v>98</v>
      </c>
      <c r="L37">
        <v>0.26300000000000001</v>
      </c>
      <c r="M37">
        <v>0.75</v>
      </c>
      <c r="T37" t="s">
        <v>52</v>
      </c>
      <c r="U37">
        <f t="shared" si="0"/>
        <v>1</v>
      </c>
      <c r="V37" t="str">
        <f t="shared" si="1"/>
        <v>MLB</v>
      </c>
      <c r="W37" t="s">
        <v>1645</v>
      </c>
    </row>
    <row r="38" spans="1:23">
      <c r="A38">
        <v>2015</v>
      </c>
      <c r="B38">
        <v>1</v>
      </c>
      <c r="C38">
        <v>37</v>
      </c>
      <c r="D38">
        <v>37</v>
      </c>
      <c r="E38" t="s">
        <v>89</v>
      </c>
      <c r="F38" t="s">
        <v>416</v>
      </c>
      <c r="G38" t="s">
        <v>2</v>
      </c>
      <c r="H38">
        <v>-1.7</v>
      </c>
      <c r="I38">
        <v>160</v>
      </c>
      <c r="J38">
        <v>435</v>
      </c>
      <c r="K38">
        <v>11</v>
      </c>
      <c r="L38">
        <v>0.2</v>
      </c>
      <c r="M38">
        <v>0.58499999999999996</v>
      </c>
      <c r="T38" t="s">
        <v>52</v>
      </c>
      <c r="U38">
        <f t="shared" si="0"/>
        <v>1</v>
      </c>
      <c r="V38" t="str">
        <f t="shared" si="1"/>
        <v>MLB</v>
      </c>
      <c r="W38" t="s">
        <v>1646</v>
      </c>
    </row>
    <row r="39" spans="1:23">
      <c r="A39">
        <v>2015</v>
      </c>
      <c r="B39">
        <v>1</v>
      </c>
      <c r="C39">
        <v>38</v>
      </c>
      <c r="D39">
        <v>38</v>
      </c>
      <c r="E39" t="s">
        <v>37</v>
      </c>
      <c r="F39" t="s">
        <v>417</v>
      </c>
      <c r="G39" t="s">
        <v>11</v>
      </c>
      <c r="H39">
        <v>-1.1000000000000001</v>
      </c>
      <c r="I39">
        <v>192</v>
      </c>
      <c r="J39">
        <v>511</v>
      </c>
      <c r="K39">
        <v>12</v>
      </c>
      <c r="L39">
        <v>0.20399999999999999</v>
      </c>
      <c r="M39">
        <v>0.61499999999999999</v>
      </c>
      <c r="T39" t="s">
        <v>52</v>
      </c>
      <c r="U39">
        <f t="shared" si="0"/>
        <v>1</v>
      </c>
      <c r="V39" t="str">
        <f t="shared" si="1"/>
        <v>MLB</v>
      </c>
      <c r="W39" t="s">
        <v>1647</v>
      </c>
    </row>
    <row r="40" spans="1:23">
      <c r="A40">
        <v>2015</v>
      </c>
      <c r="B40">
        <v>1</v>
      </c>
      <c r="C40">
        <v>39</v>
      </c>
      <c r="D40">
        <v>39</v>
      </c>
      <c r="E40" t="s">
        <v>46</v>
      </c>
      <c r="F40" t="s">
        <v>418</v>
      </c>
      <c r="G40" t="s">
        <v>8</v>
      </c>
      <c r="H40">
        <v>-1.5</v>
      </c>
      <c r="N40">
        <v>122</v>
      </c>
      <c r="O40">
        <v>11</v>
      </c>
      <c r="P40">
        <v>17</v>
      </c>
      <c r="Q40">
        <v>5.0599999999999996</v>
      </c>
      <c r="R40">
        <v>1.44</v>
      </c>
      <c r="S40">
        <v>4</v>
      </c>
      <c r="T40" t="s">
        <v>52</v>
      </c>
      <c r="U40">
        <f t="shared" si="0"/>
        <v>1</v>
      </c>
      <c r="V40" t="str">
        <f t="shared" si="1"/>
        <v>MLB</v>
      </c>
      <c r="W40" t="s">
        <v>1648</v>
      </c>
    </row>
    <row r="41" spans="1:23">
      <c r="A41">
        <v>2015</v>
      </c>
      <c r="B41">
        <v>1</v>
      </c>
      <c r="C41">
        <v>40</v>
      </c>
      <c r="D41">
        <v>40</v>
      </c>
      <c r="E41" t="s">
        <v>67</v>
      </c>
      <c r="F41" t="s">
        <v>419</v>
      </c>
      <c r="G41" t="s">
        <v>9</v>
      </c>
      <c r="T41" t="s">
        <v>34</v>
      </c>
      <c r="U41">
        <f t="shared" si="0"/>
        <v>0</v>
      </c>
      <c r="V41" t="s">
        <v>12</v>
      </c>
      <c r="W41">
        <v>-9999</v>
      </c>
    </row>
    <row r="42" spans="1:23">
      <c r="A42">
        <v>2015</v>
      </c>
      <c r="B42">
        <v>1</v>
      </c>
      <c r="C42">
        <v>41</v>
      </c>
      <c r="D42">
        <v>41</v>
      </c>
      <c r="E42" t="s">
        <v>81</v>
      </c>
      <c r="F42" t="s">
        <v>420</v>
      </c>
      <c r="G42" t="s">
        <v>11</v>
      </c>
      <c r="H42">
        <v>22.8</v>
      </c>
      <c r="I42">
        <v>864</v>
      </c>
      <c r="J42">
        <v>3306</v>
      </c>
      <c r="K42">
        <v>175</v>
      </c>
      <c r="L42">
        <v>0.26800000000000002</v>
      </c>
      <c r="M42">
        <v>0.81799999999999995</v>
      </c>
      <c r="T42" t="s">
        <v>52</v>
      </c>
      <c r="U42">
        <f t="shared" si="0"/>
        <v>1</v>
      </c>
      <c r="V42" t="str">
        <f t="shared" si="1"/>
        <v>MLB</v>
      </c>
      <c r="W42" t="s">
        <v>1649</v>
      </c>
    </row>
    <row r="43" spans="1:23">
      <c r="A43">
        <v>2015</v>
      </c>
      <c r="B43">
        <v>1</v>
      </c>
      <c r="C43">
        <v>42</v>
      </c>
      <c r="D43">
        <v>42</v>
      </c>
      <c r="E43" t="s">
        <v>206</v>
      </c>
      <c r="F43" t="s">
        <v>421</v>
      </c>
      <c r="G43" t="s">
        <v>8</v>
      </c>
      <c r="H43">
        <v>4.9000000000000004</v>
      </c>
      <c r="N43">
        <v>88</v>
      </c>
      <c r="O43">
        <v>21</v>
      </c>
      <c r="P43">
        <v>29</v>
      </c>
      <c r="Q43">
        <v>4.07</v>
      </c>
      <c r="R43">
        <v>1.1599999999999999</v>
      </c>
      <c r="S43">
        <v>0</v>
      </c>
      <c r="T43" t="s">
        <v>52</v>
      </c>
      <c r="U43">
        <f t="shared" si="0"/>
        <v>1</v>
      </c>
      <c r="V43" t="str">
        <f t="shared" si="1"/>
        <v>MLB</v>
      </c>
      <c r="W43" t="s">
        <v>1650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DF5E-621D-44D4-9F2F-7E0AFE8F79F8}">
  <dimension ref="A1:W42"/>
  <sheetViews>
    <sheetView workbookViewId="0">
      <selection activeCell="W1" sqref="W1"/>
    </sheetView>
  </sheetViews>
  <sheetFormatPr defaultRowHeight="14.5"/>
  <cols>
    <col min="1" max="1" width="4.81640625" bestFit="1" customWidth="1"/>
    <col min="2" max="2" width="3.90625" bestFit="1" customWidth="1"/>
    <col min="3" max="3" width="6" bestFit="1" customWidth="1"/>
    <col min="4" max="4" width="5.90625" bestFit="1" customWidth="1"/>
    <col min="5" max="5" width="13" bestFit="1" customWidth="1"/>
    <col min="6" max="6" width="21.7265625" bestFit="1" customWidth="1"/>
    <col min="7" max="7" width="4.26953125" bestFit="1" customWidth="1"/>
    <col min="8" max="8" width="4.81640625" bestFit="1" customWidth="1"/>
    <col min="9" max="9" width="3.81640625" bestFit="1" customWidth="1"/>
    <col min="10" max="10" width="4.81640625" bestFit="1" customWidth="1"/>
    <col min="11" max="11" width="3.81640625" bestFit="1" customWidth="1"/>
    <col min="12" max="13" width="5.81640625" bestFit="1" customWidth="1"/>
    <col min="14" max="14" width="3.81640625" bestFit="1" customWidth="1"/>
    <col min="15" max="16" width="2.81640625" bestFit="1" customWidth="1"/>
    <col min="17" max="17" width="5.81640625" bestFit="1" customWidth="1"/>
    <col min="18" max="18" width="5.26953125" bestFit="1" customWidth="1"/>
    <col min="19" max="19" width="2.90625" bestFit="1" customWidth="1"/>
    <col min="20" max="20" width="4.54296875" bestFit="1" customWidth="1"/>
    <col min="21" max="21" width="4" bestFit="1" customWidth="1"/>
  </cols>
  <sheetData>
    <row r="1" spans="1:23">
      <c r="A1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>
        <v>2016</v>
      </c>
      <c r="B2">
        <v>1</v>
      </c>
      <c r="C2">
        <v>1</v>
      </c>
      <c r="D2">
        <v>1</v>
      </c>
      <c r="E2" t="s">
        <v>87</v>
      </c>
      <c r="F2" t="s">
        <v>340</v>
      </c>
      <c r="G2" t="s">
        <v>2</v>
      </c>
      <c r="H2">
        <v>1.6</v>
      </c>
      <c r="I2">
        <v>445</v>
      </c>
      <c r="J2">
        <v>1417</v>
      </c>
      <c r="K2">
        <v>68</v>
      </c>
      <c r="L2">
        <v>0.25</v>
      </c>
      <c r="M2">
        <v>0.754</v>
      </c>
      <c r="T2" t="s">
        <v>52</v>
      </c>
      <c r="U2">
        <f>IF(ISNUMBER(SEARCH("HS",T2)),1,0)</f>
        <v>1</v>
      </c>
      <c r="V2" t="str">
        <f>IF(ISNUMBER(H2),"MLB","")</f>
        <v>MLB</v>
      </c>
      <c r="W2" t="s">
        <v>1651</v>
      </c>
    </row>
    <row r="3" spans="1:23">
      <c r="A3">
        <v>2016</v>
      </c>
      <c r="B3">
        <v>1</v>
      </c>
      <c r="C3">
        <v>2</v>
      </c>
      <c r="D3">
        <v>2</v>
      </c>
      <c r="E3" t="s">
        <v>35</v>
      </c>
      <c r="F3" t="s">
        <v>341</v>
      </c>
      <c r="G3" t="s">
        <v>11</v>
      </c>
      <c r="H3">
        <v>-3.1</v>
      </c>
      <c r="I3">
        <v>451</v>
      </c>
      <c r="J3">
        <v>1466</v>
      </c>
      <c r="K3">
        <v>40</v>
      </c>
      <c r="L3">
        <v>0.23200000000000001</v>
      </c>
      <c r="M3">
        <v>0.66200000000000003</v>
      </c>
      <c r="T3" t="s">
        <v>34</v>
      </c>
      <c r="U3">
        <f t="shared" ref="U3:U42" si="0">IF(ISNUMBER(SEARCH("HS",T3)),1,0)</f>
        <v>0</v>
      </c>
      <c r="V3" t="str">
        <f t="shared" ref="V3:V42" si="1">IF(ISNUMBER(H3),"MLB","")</f>
        <v>MLB</v>
      </c>
      <c r="W3" t="s">
        <v>1652</v>
      </c>
    </row>
    <row r="4" spans="1:23">
      <c r="A4">
        <v>2016</v>
      </c>
      <c r="B4">
        <v>1</v>
      </c>
      <c r="C4">
        <v>3</v>
      </c>
      <c r="D4">
        <v>3</v>
      </c>
      <c r="E4" t="s">
        <v>81</v>
      </c>
      <c r="F4" t="s">
        <v>342</v>
      </c>
      <c r="G4" t="s">
        <v>8</v>
      </c>
      <c r="H4">
        <v>3.1</v>
      </c>
      <c r="N4">
        <v>59</v>
      </c>
      <c r="O4">
        <v>22</v>
      </c>
      <c r="P4">
        <v>14</v>
      </c>
      <c r="Q4">
        <v>4.22</v>
      </c>
      <c r="R4">
        <v>1.37</v>
      </c>
      <c r="S4">
        <v>0</v>
      </c>
      <c r="T4" t="s">
        <v>52</v>
      </c>
      <c r="U4">
        <f t="shared" si="0"/>
        <v>1</v>
      </c>
      <c r="V4" t="str">
        <f t="shared" si="1"/>
        <v>MLB</v>
      </c>
      <c r="W4" t="s">
        <v>1653</v>
      </c>
    </row>
    <row r="5" spans="1:23">
      <c r="A5">
        <v>2016</v>
      </c>
      <c r="B5">
        <v>1</v>
      </c>
      <c r="C5">
        <v>4</v>
      </c>
      <c r="D5">
        <v>4</v>
      </c>
      <c r="E5" t="s">
        <v>37</v>
      </c>
      <c r="F5" t="s">
        <v>343</v>
      </c>
      <c r="G5" t="s">
        <v>8</v>
      </c>
      <c r="H5">
        <v>-0.4</v>
      </c>
      <c r="N5">
        <v>5</v>
      </c>
      <c r="O5">
        <v>0</v>
      </c>
      <c r="P5">
        <v>0</v>
      </c>
      <c r="Q5">
        <v>22.09</v>
      </c>
      <c r="R5">
        <v>3.82</v>
      </c>
      <c r="S5">
        <v>0</v>
      </c>
      <c r="T5" t="s">
        <v>52</v>
      </c>
      <c r="U5">
        <f t="shared" si="0"/>
        <v>1</v>
      </c>
      <c r="V5" t="str">
        <f t="shared" si="1"/>
        <v>MLB</v>
      </c>
      <c r="W5" t="s">
        <v>1654</v>
      </c>
    </row>
    <row r="6" spans="1:23">
      <c r="A6">
        <v>2016</v>
      </c>
      <c r="B6">
        <v>1</v>
      </c>
      <c r="C6">
        <v>5</v>
      </c>
      <c r="D6">
        <v>5</v>
      </c>
      <c r="E6" t="s">
        <v>67</v>
      </c>
      <c r="F6" t="s">
        <v>344</v>
      </c>
      <c r="G6" t="s">
        <v>2</v>
      </c>
      <c r="H6">
        <v>0</v>
      </c>
      <c r="I6">
        <v>1</v>
      </c>
      <c r="J6">
        <v>2</v>
      </c>
      <c r="K6">
        <v>0</v>
      </c>
      <c r="L6">
        <v>0</v>
      </c>
      <c r="M6">
        <v>0.33300000000000002</v>
      </c>
      <c r="T6" t="s">
        <v>34</v>
      </c>
      <c r="U6">
        <f t="shared" si="0"/>
        <v>0</v>
      </c>
      <c r="V6" t="str">
        <f t="shared" si="1"/>
        <v>MLB</v>
      </c>
      <c r="W6" t="s">
        <v>1655</v>
      </c>
    </row>
    <row r="7" spans="1:23">
      <c r="A7">
        <v>2016</v>
      </c>
      <c r="B7">
        <v>1</v>
      </c>
      <c r="C7">
        <v>6</v>
      </c>
      <c r="D7">
        <v>6</v>
      </c>
      <c r="E7" t="s">
        <v>39</v>
      </c>
      <c r="F7" t="s">
        <v>345</v>
      </c>
      <c r="G7" t="s">
        <v>9</v>
      </c>
      <c r="H7">
        <v>3.4</v>
      </c>
      <c r="N7">
        <v>212</v>
      </c>
      <c r="O7">
        <v>17</v>
      </c>
      <c r="P7">
        <v>20</v>
      </c>
      <c r="Q7">
        <v>3.53</v>
      </c>
      <c r="R7">
        <v>1.19</v>
      </c>
      <c r="S7">
        <v>26</v>
      </c>
      <c r="T7" t="s">
        <v>34</v>
      </c>
      <c r="U7">
        <f t="shared" si="0"/>
        <v>0</v>
      </c>
      <c r="V7" t="str">
        <f t="shared" si="1"/>
        <v>MLB</v>
      </c>
      <c r="W7" t="s">
        <v>1656</v>
      </c>
    </row>
    <row r="8" spans="1:23">
      <c r="A8">
        <v>2016</v>
      </c>
      <c r="B8">
        <v>1</v>
      </c>
      <c r="C8">
        <v>7</v>
      </c>
      <c r="D8">
        <v>7</v>
      </c>
      <c r="E8" t="s">
        <v>65</v>
      </c>
      <c r="F8" t="s">
        <v>346</v>
      </c>
      <c r="G8" t="s">
        <v>9</v>
      </c>
      <c r="H8">
        <v>5.7</v>
      </c>
      <c r="N8">
        <v>65</v>
      </c>
      <c r="O8">
        <v>16</v>
      </c>
      <c r="P8">
        <v>19</v>
      </c>
      <c r="Q8">
        <v>4.03</v>
      </c>
      <c r="R8">
        <v>1.26</v>
      </c>
      <c r="S8">
        <v>0</v>
      </c>
      <c r="T8" t="s">
        <v>52</v>
      </c>
      <c r="U8">
        <f t="shared" si="0"/>
        <v>1</v>
      </c>
      <c r="V8" t="str">
        <f t="shared" si="1"/>
        <v>MLB</v>
      </c>
      <c r="W8" t="s">
        <v>1657</v>
      </c>
    </row>
    <row r="9" spans="1:23">
      <c r="A9">
        <v>2016</v>
      </c>
      <c r="B9">
        <v>1</v>
      </c>
      <c r="C9">
        <v>8</v>
      </c>
      <c r="D9">
        <v>8</v>
      </c>
      <c r="E9" t="s">
        <v>83</v>
      </c>
      <c r="F9" t="s">
        <v>347</v>
      </c>
      <c r="G9" t="s">
        <v>8</v>
      </c>
      <c r="H9">
        <v>7.7</v>
      </c>
      <c r="N9">
        <v>193</v>
      </c>
      <c r="O9">
        <v>49</v>
      </c>
      <c r="P9">
        <v>46</v>
      </c>
      <c r="Q9">
        <v>4.34</v>
      </c>
      <c r="R9">
        <v>1.33</v>
      </c>
      <c r="S9">
        <v>1</v>
      </c>
      <c r="T9" t="s">
        <v>34</v>
      </c>
      <c r="U9">
        <f t="shared" si="0"/>
        <v>0</v>
      </c>
      <c r="V9" t="str">
        <f t="shared" si="1"/>
        <v>MLB</v>
      </c>
      <c r="W9" t="s">
        <v>1658</v>
      </c>
    </row>
    <row r="10" spans="1:23">
      <c r="A10">
        <v>2016</v>
      </c>
      <c r="B10">
        <v>1</v>
      </c>
      <c r="C10">
        <v>9</v>
      </c>
      <c r="D10">
        <v>9</v>
      </c>
      <c r="E10" t="s">
        <v>55</v>
      </c>
      <c r="F10" t="s">
        <v>348</v>
      </c>
      <c r="G10" t="s">
        <v>8</v>
      </c>
      <c r="H10">
        <v>1.9</v>
      </c>
      <c r="N10">
        <v>50</v>
      </c>
      <c r="O10">
        <v>11</v>
      </c>
      <c r="P10">
        <v>15</v>
      </c>
      <c r="Q10">
        <v>4.43</v>
      </c>
      <c r="R10">
        <v>1.29</v>
      </c>
      <c r="S10">
        <v>0</v>
      </c>
      <c r="T10" t="s">
        <v>52</v>
      </c>
      <c r="U10">
        <f t="shared" si="0"/>
        <v>1</v>
      </c>
      <c r="V10" t="str">
        <f t="shared" si="1"/>
        <v>MLB</v>
      </c>
      <c r="W10" t="s">
        <v>1659</v>
      </c>
    </row>
    <row r="11" spans="1:23">
      <c r="A11">
        <v>2016</v>
      </c>
      <c r="B11">
        <v>1</v>
      </c>
      <c r="C11">
        <v>10</v>
      </c>
      <c r="D11">
        <v>10</v>
      </c>
      <c r="E11" t="s">
        <v>41</v>
      </c>
      <c r="F11" t="s">
        <v>349</v>
      </c>
      <c r="G11" t="s">
        <v>6</v>
      </c>
      <c r="H11">
        <v>-1.1000000000000001</v>
      </c>
      <c r="I11">
        <v>152</v>
      </c>
      <c r="J11">
        <v>398</v>
      </c>
      <c r="K11">
        <v>11</v>
      </c>
      <c r="L11">
        <v>0.188</v>
      </c>
      <c r="M11">
        <v>0.629</v>
      </c>
      <c r="T11" t="s">
        <v>34</v>
      </c>
      <c r="U11">
        <f t="shared" si="0"/>
        <v>0</v>
      </c>
      <c r="V11" t="str">
        <f t="shared" si="1"/>
        <v>MLB</v>
      </c>
      <c r="W11" t="s">
        <v>1660</v>
      </c>
    </row>
    <row r="12" spans="1:23">
      <c r="A12">
        <v>2016</v>
      </c>
      <c r="B12">
        <v>1</v>
      </c>
      <c r="C12">
        <v>11</v>
      </c>
      <c r="D12">
        <v>11</v>
      </c>
      <c r="E12" t="s">
        <v>63</v>
      </c>
      <c r="F12" t="s">
        <v>350</v>
      </c>
      <c r="G12" t="s">
        <v>2</v>
      </c>
      <c r="H12">
        <v>1.8</v>
      </c>
      <c r="I12">
        <v>146</v>
      </c>
      <c r="J12">
        <v>514</v>
      </c>
      <c r="K12">
        <v>26</v>
      </c>
      <c r="L12">
        <v>0.23499999999999999</v>
      </c>
      <c r="M12">
        <v>0.73199999999999998</v>
      </c>
      <c r="T12" t="s">
        <v>34</v>
      </c>
      <c r="U12">
        <f t="shared" si="0"/>
        <v>0</v>
      </c>
      <c r="V12" t="str">
        <f t="shared" si="1"/>
        <v>MLB</v>
      </c>
      <c r="W12" t="s">
        <v>1661</v>
      </c>
    </row>
    <row r="13" spans="1:23">
      <c r="A13">
        <v>2016</v>
      </c>
      <c r="B13">
        <v>1</v>
      </c>
      <c r="C13">
        <v>12</v>
      </c>
      <c r="D13">
        <v>12</v>
      </c>
      <c r="E13" t="s">
        <v>57</v>
      </c>
      <c r="F13" t="s">
        <v>351</v>
      </c>
      <c r="G13" t="s">
        <v>9</v>
      </c>
      <c r="T13" t="s">
        <v>52</v>
      </c>
      <c r="U13">
        <f t="shared" si="0"/>
        <v>1</v>
      </c>
      <c r="V13" t="s">
        <v>12</v>
      </c>
      <c r="W13">
        <v>-9999</v>
      </c>
    </row>
    <row r="14" spans="1:23">
      <c r="A14">
        <v>2016</v>
      </c>
      <c r="B14">
        <v>1</v>
      </c>
      <c r="C14">
        <v>13</v>
      </c>
      <c r="D14">
        <v>13</v>
      </c>
      <c r="E14" t="s">
        <v>69</v>
      </c>
      <c r="F14" t="s">
        <v>352</v>
      </c>
      <c r="G14" t="s">
        <v>11</v>
      </c>
      <c r="H14">
        <v>4.0999999999999996</v>
      </c>
      <c r="I14">
        <v>441</v>
      </c>
      <c r="J14">
        <v>1503</v>
      </c>
      <c r="K14">
        <v>47</v>
      </c>
      <c r="L14">
        <v>0.24399999999999999</v>
      </c>
      <c r="M14">
        <v>0.70499999999999996</v>
      </c>
      <c r="T14" t="s">
        <v>52</v>
      </c>
      <c r="U14">
        <f t="shared" si="0"/>
        <v>1</v>
      </c>
      <c r="V14" t="str">
        <f t="shared" si="1"/>
        <v>MLB</v>
      </c>
      <c r="W14" t="s">
        <v>1662</v>
      </c>
    </row>
    <row r="15" spans="1:23">
      <c r="A15">
        <v>2016</v>
      </c>
      <c r="B15">
        <v>1</v>
      </c>
      <c r="C15">
        <v>14</v>
      </c>
      <c r="D15">
        <v>14</v>
      </c>
      <c r="E15" t="s">
        <v>206</v>
      </c>
      <c r="F15" t="s">
        <v>353</v>
      </c>
      <c r="G15" t="s">
        <v>2</v>
      </c>
      <c r="H15">
        <v>0.5</v>
      </c>
      <c r="I15">
        <v>388</v>
      </c>
      <c r="J15">
        <v>981</v>
      </c>
      <c r="K15">
        <v>39</v>
      </c>
      <c r="L15">
        <v>0.221</v>
      </c>
      <c r="M15">
        <v>0.71599999999999997</v>
      </c>
      <c r="T15" t="s">
        <v>52</v>
      </c>
      <c r="U15">
        <f t="shared" si="0"/>
        <v>1</v>
      </c>
      <c r="V15" t="str">
        <f t="shared" si="1"/>
        <v>MLB</v>
      </c>
      <c r="W15" t="s">
        <v>1663</v>
      </c>
    </row>
    <row r="16" spans="1:23">
      <c r="A16">
        <v>2016</v>
      </c>
      <c r="B16">
        <v>1</v>
      </c>
      <c r="C16">
        <v>15</v>
      </c>
      <c r="D16">
        <v>15</v>
      </c>
      <c r="E16" t="s">
        <v>75</v>
      </c>
      <c r="F16" t="s">
        <v>354</v>
      </c>
      <c r="G16" t="s">
        <v>2</v>
      </c>
      <c r="H16">
        <v>-0.1</v>
      </c>
      <c r="I16">
        <v>249</v>
      </c>
      <c r="J16">
        <v>799</v>
      </c>
      <c r="K16">
        <v>27</v>
      </c>
      <c r="L16">
        <v>0.248</v>
      </c>
      <c r="M16">
        <v>0.72099999999999997</v>
      </c>
      <c r="T16" t="s">
        <v>52</v>
      </c>
      <c r="U16">
        <f t="shared" si="0"/>
        <v>1</v>
      </c>
      <c r="V16" t="str">
        <f t="shared" si="1"/>
        <v>MLB</v>
      </c>
      <c r="W16" t="s">
        <v>1664</v>
      </c>
    </row>
    <row r="17" spans="1:23">
      <c r="A17">
        <v>2016</v>
      </c>
      <c r="B17">
        <v>1</v>
      </c>
      <c r="C17">
        <v>16</v>
      </c>
      <c r="D17">
        <v>16</v>
      </c>
      <c r="E17" t="s">
        <v>48</v>
      </c>
      <c r="F17" t="s">
        <v>355</v>
      </c>
      <c r="G17" t="s">
        <v>6</v>
      </c>
      <c r="H17">
        <v>1.9</v>
      </c>
      <c r="I17">
        <v>305</v>
      </c>
      <c r="J17">
        <v>819</v>
      </c>
      <c r="K17">
        <v>23</v>
      </c>
      <c r="L17">
        <v>0.21</v>
      </c>
      <c r="M17">
        <v>0.65200000000000002</v>
      </c>
      <c r="T17" t="s">
        <v>34</v>
      </c>
      <c r="U17">
        <f t="shared" si="0"/>
        <v>0</v>
      </c>
      <c r="V17" t="str">
        <f t="shared" si="1"/>
        <v>MLB</v>
      </c>
      <c r="W17" t="s">
        <v>1665</v>
      </c>
    </row>
    <row r="18" spans="1:23">
      <c r="A18">
        <v>2016</v>
      </c>
      <c r="B18">
        <v>1</v>
      </c>
      <c r="C18">
        <v>17</v>
      </c>
      <c r="D18">
        <v>17</v>
      </c>
      <c r="E18" t="s">
        <v>89</v>
      </c>
      <c r="F18" t="s">
        <v>356</v>
      </c>
      <c r="G18" t="s">
        <v>8</v>
      </c>
      <c r="H18">
        <v>-0.8</v>
      </c>
      <c r="N18">
        <v>13</v>
      </c>
      <c r="O18">
        <v>0</v>
      </c>
      <c r="P18">
        <v>0</v>
      </c>
      <c r="Q18">
        <v>10.57</v>
      </c>
      <c r="R18">
        <v>2.2799999999999998</v>
      </c>
      <c r="S18">
        <v>0</v>
      </c>
      <c r="T18" t="s">
        <v>52</v>
      </c>
      <c r="U18">
        <f t="shared" si="0"/>
        <v>1</v>
      </c>
      <c r="V18" t="str">
        <f t="shared" si="1"/>
        <v>MLB</v>
      </c>
      <c r="W18" t="s">
        <v>1666</v>
      </c>
    </row>
    <row r="19" spans="1:23">
      <c r="A19">
        <v>2016</v>
      </c>
      <c r="B19">
        <v>1</v>
      </c>
      <c r="C19">
        <v>18</v>
      </c>
      <c r="D19">
        <v>18</v>
      </c>
      <c r="E19" t="s">
        <v>85</v>
      </c>
      <c r="F19" t="s">
        <v>357</v>
      </c>
      <c r="G19" t="s">
        <v>2</v>
      </c>
      <c r="H19">
        <v>-0.2</v>
      </c>
      <c r="I19">
        <v>16</v>
      </c>
      <c r="J19">
        <v>35</v>
      </c>
      <c r="K19">
        <v>0</v>
      </c>
      <c r="L19">
        <v>0.17100000000000001</v>
      </c>
      <c r="M19">
        <v>0.36599999999999999</v>
      </c>
      <c r="T19" t="s">
        <v>52</v>
      </c>
      <c r="U19">
        <f t="shared" si="0"/>
        <v>1</v>
      </c>
      <c r="V19" t="str">
        <f t="shared" si="1"/>
        <v>MLB</v>
      </c>
      <c r="W19" t="s">
        <v>1667</v>
      </c>
    </row>
    <row r="20" spans="1:23">
      <c r="A20">
        <v>2016</v>
      </c>
      <c r="B20">
        <v>1</v>
      </c>
      <c r="C20">
        <v>19</v>
      </c>
      <c r="D20">
        <v>19</v>
      </c>
      <c r="E20" t="s">
        <v>71</v>
      </c>
      <c r="F20" t="s">
        <v>358</v>
      </c>
      <c r="G20" t="s">
        <v>8</v>
      </c>
      <c r="H20">
        <v>1.5</v>
      </c>
      <c r="N20">
        <v>32</v>
      </c>
      <c r="O20">
        <v>6</v>
      </c>
      <c r="P20">
        <v>7</v>
      </c>
      <c r="Q20">
        <v>4.4400000000000004</v>
      </c>
      <c r="R20">
        <v>1.41</v>
      </c>
      <c r="S20">
        <v>0</v>
      </c>
      <c r="T20" t="s">
        <v>34</v>
      </c>
      <c r="U20">
        <f t="shared" si="0"/>
        <v>0</v>
      </c>
      <c r="V20" t="str">
        <f t="shared" si="1"/>
        <v>MLB</v>
      </c>
      <c r="W20" t="s">
        <v>1668</v>
      </c>
    </row>
    <row r="21" spans="1:23">
      <c r="A21">
        <v>2016</v>
      </c>
      <c r="B21">
        <v>1</v>
      </c>
      <c r="C21">
        <v>20</v>
      </c>
      <c r="D21">
        <v>20</v>
      </c>
      <c r="E21" t="s">
        <v>79</v>
      </c>
      <c r="F21" t="s">
        <v>359</v>
      </c>
      <c r="G21" t="s">
        <v>5</v>
      </c>
      <c r="H21">
        <v>7.1</v>
      </c>
      <c r="I21">
        <v>552</v>
      </c>
      <c r="J21">
        <v>1779</v>
      </c>
      <c r="K21">
        <v>33</v>
      </c>
      <c r="L21">
        <v>0.25600000000000001</v>
      </c>
      <c r="M21">
        <v>0.71299999999999997</v>
      </c>
      <c r="T21" t="s">
        <v>52</v>
      </c>
      <c r="U21">
        <f t="shared" si="0"/>
        <v>1</v>
      </c>
      <c r="V21" t="str">
        <f t="shared" si="1"/>
        <v>MLB</v>
      </c>
      <c r="W21" t="s">
        <v>1669</v>
      </c>
    </row>
    <row r="22" spans="1:23">
      <c r="A22">
        <v>2016</v>
      </c>
      <c r="B22">
        <v>1</v>
      </c>
      <c r="C22">
        <v>21</v>
      </c>
      <c r="D22">
        <v>21</v>
      </c>
      <c r="E22" t="s">
        <v>73</v>
      </c>
      <c r="F22" t="s">
        <v>360</v>
      </c>
      <c r="G22" t="s">
        <v>8</v>
      </c>
      <c r="H22">
        <v>-0.6</v>
      </c>
      <c r="N22">
        <v>16</v>
      </c>
      <c r="O22">
        <v>2</v>
      </c>
      <c r="P22">
        <v>7</v>
      </c>
      <c r="Q22">
        <v>6.49</v>
      </c>
      <c r="R22">
        <v>1.79</v>
      </c>
      <c r="S22">
        <v>0</v>
      </c>
      <c r="T22" t="s">
        <v>34</v>
      </c>
      <c r="U22">
        <f t="shared" si="0"/>
        <v>0</v>
      </c>
      <c r="V22" t="str">
        <f t="shared" si="1"/>
        <v>MLB</v>
      </c>
      <c r="W22" t="s">
        <v>1670</v>
      </c>
    </row>
    <row r="23" spans="1:23">
      <c r="A23">
        <v>2016</v>
      </c>
      <c r="B23">
        <v>1</v>
      </c>
      <c r="C23">
        <v>22</v>
      </c>
      <c r="D23">
        <v>22</v>
      </c>
      <c r="E23" t="s">
        <v>50</v>
      </c>
      <c r="F23" t="s">
        <v>361</v>
      </c>
      <c r="G23" t="s">
        <v>11</v>
      </c>
      <c r="H23">
        <v>-0.7</v>
      </c>
      <c r="I23">
        <v>20</v>
      </c>
      <c r="J23">
        <v>64</v>
      </c>
      <c r="K23">
        <v>1</v>
      </c>
      <c r="L23">
        <v>0.20300000000000001</v>
      </c>
      <c r="M23">
        <v>0.54200000000000004</v>
      </c>
      <c r="T23" t="s">
        <v>34</v>
      </c>
      <c r="U23">
        <f t="shared" si="0"/>
        <v>0</v>
      </c>
      <c r="V23" t="str">
        <f t="shared" si="1"/>
        <v>MLB</v>
      </c>
      <c r="W23" t="s">
        <v>1671</v>
      </c>
    </row>
    <row r="24" spans="1:23">
      <c r="A24">
        <v>2016</v>
      </c>
      <c r="B24">
        <v>1</v>
      </c>
      <c r="C24">
        <v>23</v>
      </c>
      <c r="D24">
        <v>23</v>
      </c>
      <c r="E24" t="s">
        <v>46</v>
      </c>
      <c r="F24" t="s">
        <v>362</v>
      </c>
      <c r="G24" t="s">
        <v>5</v>
      </c>
      <c r="T24" t="s">
        <v>52</v>
      </c>
      <c r="U24">
        <f t="shared" si="0"/>
        <v>1</v>
      </c>
      <c r="V24" t="s">
        <v>12</v>
      </c>
      <c r="W24">
        <v>-9999</v>
      </c>
    </row>
    <row r="25" spans="1:23">
      <c r="A25">
        <v>2016</v>
      </c>
      <c r="B25">
        <v>1</v>
      </c>
      <c r="C25">
        <v>24</v>
      </c>
      <c r="D25">
        <v>24</v>
      </c>
      <c r="E25" t="s">
        <v>83</v>
      </c>
      <c r="F25" t="s">
        <v>363</v>
      </c>
      <c r="G25" t="s">
        <v>5</v>
      </c>
      <c r="T25" t="s">
        <v>52</v>
      </c>
      <c r="U25">
        <f t="shared" si="0"/>
        <v>1</v>
      </c>
      <c r="V25" t="s">
        <v>12</v>
      </c>
      <c r="W25">
        <v>-9999</v>
      </c>
    </row>
    <row r="26" spans="1:23">
      <c r="A26">
        <v>2016</v>
      </c>
      <c r="B26">
        <v>1</v>
      </c>
      <c r="C26">
        <v>25</v>
      </c>
      <c r="D26">
        <v>25</v>
      </c>
      <c r="E26" t="s">
        <v>83</v>
      </c>
      <c r="F26" t="s">
        <v>364</v>
      </c>
      <c r="G26" t="s">
        <v>9</v>
      </c>
      <c r="H26">
        <v>5.2</v>
      </c>
      <c r="N26">
        <v>156</v>
      </c>
      <c r="O26">
        <v>46</v>
      </c>
      <c r="P26">
        <v>44</v>
      </c>
      <c r="Q26">
        <v>4.26</v>
      </c>
      <c r="R26">
        <v>1.34</v>
      </c>
      <c r="S26">
        <v>0</v>
      </c>
      <c r="T26" t="s">
        <v>34</v>
      </c>
      <c r="U26">
        <f t="shared" si="0"/>
        <v>0</v>
      </c>
      <c r="V26" t="str">
        <f t="shared" si="1"/>
        <v>MLB</v>
      </c>
      <c r="W26" t="s">
        <v>1672</v>
      </c>
    </row>
    <row r="27" spans="1:23">
      <c r="A27">
        <v>2016</v>
      </c>
      <c r="B27">
        <v>1</v>
      </c>
      <c r="C27">
        <v>26</v>
      </c>
      <c r="D27">
        <v>26</v>
      </c>
      <c r="E27" t="s">
        <v>41</v>
      </c>
      <c r="F27" t="s">
        <v>365</v>
      </c>
      <c r="G27" t="s">
        <v>8</v>
      </c>
      <c r="H27">
        <v>-0.8</v>
      </c>
      <c r="N27">
        <v>18</v>
      </c>
      <c r="O27">
        <v>0</v>
      </c>
      <c r="P27">
        <v>1</v>
      </c>
      <c r="Q27">
        <v>8.44</v>
      </c>
      <c r="R27">
        <v>1.88</v>
      </c>
      <c r="S27">
        <v>0</v>
      </c>
      <c r="T27" t="s">
        <v>34</v>
      </c>
      <c r="U27">
        <f t="shared" si="0"/>
        <v>0</v>
      </c>
      <c r="V27" t="str">
        <f t="shared" si="1"/>
        <v>MLB</v>
      </c>
      <c r="W27" t="s">
        <v>1673</v>
      </c>
    </row>
    <row r="28" spans="1:23">
      <c r="A28">
        <v>2016</v>
      </c>
      <c r="B28">
        <v>1</v>
      </c>
      <c r="C28">
        <v>27</v>
      </c>
      <c r="D28">
        <v>27</v>
      </c>
      <c r="E28" t="s">
        <v>77</v>
      </c>
      <c r="F28" t="s">
        <v>366</v>
      </c>
      <c r="G28" t="s">
        <v>8</v>
      </c>
      <c r="H28">
        <v>-0.1</v>
      </c>
      <c r="N28">
        <v>1</v>
      </c>
      <c r="O28">
        <v>0</v>
      </c>
      <c r="P28">
        <v>0</v>
      </c>
      <c r="Q28">
        <v>15</v>
      </c>
      <c r="R28">
        <v>2.33</v>
      </c>
      <c r="S28">
        <v>0</v>
      </c>
      <c r="T28" t="s">
        <v>34</v>
      </c>
      <c r="U28">
        <f t="shared" si="0"/>
        <v>0</v>
      </c>
      <c r="V28" t="str">
        <f t="shared" si="1"/>
        <v>MLB</v>
      </c>
      <c r="W28" t="s">
        <v>1674</v>
      </c>
    </row>
    <row r="29" spans="1:23">
      <c r="A29">
        <v>2016</v>
      </c>
      <c r="B29">
        <v>1</v>
      </c>
      <c r="C29">
        <v>28</v>
      </c>
      <c r="D29">
        <v>28</v>
      </c>
      <c r="E29" t="s">
        <v>53</v>
      </c>
      <c r="F29" t="s">
        <v>367</v>
      </c>
      <c r="G29" t="s">
        <v>5</v>
      </c>
      <c r="H29">
        <v>-2</v>
      </c>
      <c r="I29">
        <v>136</v>
      </c>
      <c r="J29">
        <v>450</v>
      </c>
      <c r="K29">
        <v>12</v>
      </c>
      <c r="L29">
        <v>0.2</v>
      </c>
      <c r="M29">
        <v>0.59699999999999998</v>
      </c>
      <c r="T29" t="s">
        <v>52</v>
      </c>
      <c r="U29">
        <f t="shared" si="0"/>
        <v>1</v>
      </c>
      <c r="V29" t="str">
        <f t="shared" si="1"/>
        <v>MLB</v>
      </c>
      <c r="W29" t="s">
        <v>1675</v>
      </c>
    </row>
    <row r="30" spans="1:23">
      <c r="A30">
        <v>2016</v>
      </c>
      <c r="B30">
        <v>1</v>
      </c>
      <c r="C30">
        <v>29</v>
      </c>
      <c r="D30">
        <v>29</v>
      </c>
      <c r="E30" t="s">
        <v>53</v>
      </c>
      <c r="F30" t="s">
        <v>368</v>
      </c>
      <c r="G30" t="s">
        <v>8</v>
      </c>
      <c r="H30">
        <v>3.5</v>
      </c>
      <c r="N30">
        <v>136</v>
      </c>
      <c r="O30">
        <v>28</v>
      </c>
      <c r="P30">
        <v>32</v>
      </c>
      <c r="Q30">
        <v>4.4400000000000004</v>
      </c>
      <c r="R30">
        <v>1.37</v>
      </c>
      <c r="S30">
        <v>2</v>
      </c>
      <c r="T30" t="s">
        <v>34</v>
      </c>
      <c r="U30">
        <f t="shared" si="0"/>
        <v>0</v>
      </c>
      <c r="V30" t="str">
        <f t="shared" si="1"/>
        <v>MLB</v>
      </c>
      <c r="W30" t="s">
        <v>1676</v>
      </c>
    </row>
    <row r="31" spans="1:23">
      <c r="A31">
        <v>2016</v>
      </c>
      <c r="B31">
        <v>1</v>
      </c>
      <c r="C31">
        <v>30</v>
      </c>
      <c r="D31">
        <v>30</v>
      </c>
      <c r="E31" t="s">
        <v>93</v>
      </c>
      <c r="F31" t="s">
        <v>369</v>
      </c>
      <c r="G31" t="s">
        <v>9</v>
      </c>
      <c r="H31">
        <v>7.2</v>
      </c>
      <c r="N31">
        <v>91</v>
      </c>
      <c r="O31">
        <v>22</v>
      </c>
      <c r="P31">
        <v>24</v>
      </c>
      <c r="Q31">
        <v>3.76</v>
      </c>
      <c r="R31">
        <v>1.21</v>
      </c>
      <c r="S31">
        <v>0</v>
      </c>
      <c r="T31" t="s">
        <v>52</v>
      </c>
      <c r="U31">
        <f t="shared" si="0"/>
        <v>1</v>
      </c>
      <c r="V31" t="str">
        <f t="shared" si="1"/>
        <v>MLB</v>
      </c>
      <c r="W31" t="s">
        <v>1677</v>
      </c>
    </row>
    <row r="32" spans="1:23">
      <c r="A32">
        <v>2016</v>
      </c>
      <c r="B32">
        <v>1</v>
      </c>
      <c r="C32">
        <v>31</v>
      </c>
      <c r="D32">
        <v>31</v>
      </c>
      <c r="E32" t="s">
        <v>71</v>
      </c>
      <c r="F32" t="s">
        <v>370</v>
      </c>
      <c r="G32" t="s">
        <v>9</v>
      </c>
      <c r="H32">
        <v>0</v>
      </c>
      <c r="N32">
        <v>52</v>
      </c>
      <c r="O32">
        <v>6</v>
      </c>
      <c r="P32">
        <v>3</v>
      </c>
      <c r="Q32">
        <v>5.39</v>
      </c>
      <c r="R32">
        <v>1.6</v>
      </c>
      <c r="S32">
        <v>0</v>
      </c>
      <c r="T32" t="s">
        <v>34</v>
      </c>
      <c r="U32">
        <f t="shared" si="0"/>
        <v>0</v>
      </c>
      <c r="V32" t="str">
        <f t="shared" si="1"/>
        <v>MLB</v>
      </c>
      <c r="W32" t="s">
        <v>1678</v>
      </c>
    </row>
    <row r="33" spans="1:23">
      <c r="A33">
        <v>2016</v>
      </c>
      <c r="B33">
        <v>1</v>
      </c>
      <c r="C33">
        <v>32</v>
      </c>
      <c r="D33">
        <v>32</v>
      </c>
      <c r="E33" t="s">
        <v>79</v>
      </c>
      <c r="F33" t="s">
        <v>371</v>
      </c>
      <c r="G33" t="s">
        <v>6</v>
      </c>
      <c r="H33">
        <v>23.1</v>
      </c>
      <c r="I33">
        <v>758</v>
      </c>
      <c r="J33">
        <v>2629</v>
      </c>
      <c r="K33">
        <v>131</v>
      </c>
      <c r="L33">
        <v>0.26300000000000001</v>
      </c>
      <c r="M33">
        <v>0.82699999999999996</v>
      </c>
      <c r="T33" t="s">
        <v>34</v>
      </c>
      <c r="U33">
        <f t="shared" si="0"/>
        <v>0</v>
      </c>
      <c r="V33" t="str">
        <f t="shared" si="1"/>
        <v>MLB</v>
      </c>
      <c r="W33" t="s">
        <v>1679</v>
      </c>
    </row>
    <row r="34" spans="1:23">
      <c r="A34">
        <v>2016</v>
      </c>
      <c r="B34">
        <v>1</v>
      </c>
      <c r="C34">
        <v>33</v>
      </c>
      <c r="D34">
        <v>33</v>
      </c>
      <c r="E34" t="s">
        <v>46</v>
      </c>
      <c r="F34" t="s">
        <v>372</v>
      </c>
      <c r="G34" t="s">
        <v>2</v>
      </c>
      <c r="H34">
        <v>3.5</v>
      </c>
      <c r="I34">
        <v>570</v>
      </c>
      <c r="J34">
        <v>1759</v>
      </c>
      <c r="K34">
        <v>43</v>
      </c>
      <c r="L34">
        <v>0.23300000000000001</v>
      </c>
      <c r="M34">
        <v>0.68200000000000005</v>
      </c>
      <c r="T34" t="s">
        <v>52</v>
      </c>
      <c r="U34">
        <f t="shared" si="0"/>
        <v>1</v>
      </c>
      <c r="V34" t="str">
        <f t="shared" si="1"/>
        <v>MLB</v>
      </c>
      <c r="W34" t="s">
        <v>1680</v>
      </c>
    </row>
    <row r="35" spans="1:23">
      <c r="A35">
        <v>2016</v>
      </c>
      <c r="B35">
        <v>1</v>
      </c>
      <c r="C35">
        <v>34</v>
      </c>
      <c r="D35">
        <v>34</v>
      </c>
      <c r="E35" t="s">
        <v>46</v>
      </c>
      <c r="F35" t="s">
        <v>373</v>
      </c>
      <c r="G35" t="s">
        <v>8</v>
      </c>
      <c r="H35">
        <v>3.5</v>
      </c>
      <c r="N35">
        <v>132</v>
      </c>
      <c r="O35">
        <v>40</v>
      </c>
      <c r="P35">
        <v>32</v>
      </c>
      <c r="Q35">
        <v>4.21</v>
      </c>
      <c r="R35">
        <v>1.43</v>
      </c>
      <c r="S35">
        <v>1</v>
      </c>
      <c r="T35" t="s">
        <v>34</v>
      </c>
      <c r="U35">
        <f t="shared" si="0"/>
        <v>0</v>
      </c>
      <c r="V35" t="str">
        <f t="shared" si="1"/>
        <v>MLB</v>
      </c>
      <c r="W35" t="s">
        <v>1681</v>
      </c>
    </row>
    <row r="36" spans="1:23">
      <c r="A36">
        <v>2016</v>
      </c>
      <c r="B36">
        <v>1</v>
      </c>
      <c r="C36">
        <v>35</v>
      </c>
      <c r="D36">
        <v>35</v>
      </c>
      <c r="E36" t="s">
        <v>35</v>
      </c>
      <c r="F36" t="s">
        <v>374</v>
      </c>
      <c r="G36" t="s">
        <v>2</v>
      </c>
      <c r="H36">
        <v>-0.4</v>
      </c>
      <c r="I36">
        <v>188</v>
      </c>
      <c r="J36">
        <v>457</v>
      </c>
      <c r="K36">
        <v>18</v>
      </c>
      <c r="L36">
        <v>0.186</v>
      </c>
      <c r="M36">
        <v>0.64700000000000002</v>
      </c>
      <c r="T36" t="s">
        <v>52</v>
      </c>
      <c r="U36">
        <f t="shared" si="0"/>
        <v>1</v>
      </c>
      <c r="V36" t="str">
        <f t="shared" si="1"/>
        <v>MLB</v>
      </c>
      <c r="W36" t="s">
        <v>1682</v>
      </c>
    </row>
    <row r="37" spans="1:23">
      <c r="A37">
        <v>2016</v>
      </c>
      <c r="B37">
        <v>1</v>
      </c>
      <c r="C37">
        <v>36</v>
      </c>
      <c r="D37">
        <v>36</v>
      </c>
      <c r="E37" t="s">
        <v>79</v>
      </c>
      <c r="F37" t="s">
        <v>375</v>
      </c>
      <c r="G37" t="s">
        <v>8</v>
      </c>
      <c r="H37">
        <v>0.7</v>
      </c>
      <c r="N37">
        <v>32</v>
      </c>
      <c r="O37">
        <v>0</v>
      </c>
      <c r="P37">
        <v>0</v>
      </c>
      <c r="Q37">
        <v>3.16</v>
      </c>
      <c r="R37">
        <v>1.1499999999999999</v>
      </c>
      <c r="S37">
        <v>0</v>
      </c>
      <c r="T37" t="s">
        <v>34</v>
      </c>
      <c r="U37">
        <f t="shared" si="0"/>
        <v>0</v>
      </c>
      <c r="V37" t="str">
        <f t="shared" si="1"/>
        <v>MLB</v>
      </c>
      <c r="W37" t="s">
        <v>1683</v>
      </c>
    </row>
    <row r="38" spans="1:23">
      <c r="A38">
        <v>2016</v>
      </c>
      <c r="B38">
        <v>1</v>
      </c>
      <c r="C38">
        <v>37</v>
      </c>
      <c r="D38">
        <v>37</v>
      </c>
      <c r="E38" t="s">
        <v>39</v>
      </c>
      <c r="F38" t="s">
        <v>376</v>
      </c>
      <c r="G38" t="s">
        <v>8</v>
      </c>
      <c r="H38">
        <v>-1</v>
      </c>
      <c r="N38">
        <v>20</v>
      </c>
      <c r="O38">
        <v>2</v>
      </c>
      <c r="P38">
        <v>10</v>
      </c>
      <c r="Q38">
        <v>6.59</v>
      </c>
      <c r="R38">
        <v>1.46</v>
      </c>
      <c r="S38">
        <v>0</v>
      </c>
      <c r="T38" t="s">
        <v>34</v>
      </c>
      <c r="U38">
        <f t="shared" si="0"/>
        <v>0</v>
      </c>
      <c r="V38" t="str">
        <f t="shared" si="1"/>
        <v>MLB</v>
      </c>
      <c r="W38" t="s">
        <v>1684</v>
      </c>
    </row>
    <row r="39" spans="1:23">
      <c r="A39">
        <v>2016</v>
      </c>
      <c r="B39">
        <v>1</v>
      </c>
      <c r="C39">
        <v>38</v>
      </c>
      <c r="D39">
        <v>38</v>
      </c>
      <c r="E39" t="s">
        <v>37</v>
      </c>
      <c r="F39" t="s">
        <v>377</v>
      </c>
      <c r="G39" t="s">
        <v>8</v>
      </c>
      <c r="T39" t="s">
        <v>34</v>
      </c>
      <c r="U39">
        <f t="shared" si="0"/>
        <v>0</v>
      </c>
      <c r="V39" t="s">
        <v>14</v>
      </c>
      <c r="W39">
        <v>-9999</v>
      </c>
    </row>
    <row r="40" spans="1:23">
      <c r="A40">
        <v>2016</v>
      </c>
      <c r="B40">
        <v>1</v>
      </c>
      <c r="C40">
        <v>39</v>
      </c>
      <c r="D40">
        <v>39</v>
      </c>
      <c r="E40" t="s">
        <v>91</v>
      </c>
      <c r="F40" t="s">
        <v>378</v>
      </c>
      <c r="G40" t="s">
        <v>2</v>
      </c>
      <c r="T40" t="s">
        <v>34</v>
      </c>
      <c r="U40">
        <f t="shared" si="0"/>
        <v>0</v>
      </c>
      <c r="V40" t="s">
        <v>14</v>
      </c>
      <c r="W40">
        <v>-9999</v>
      </c>
    </row>
    <row r="41" spans="1:23">
      <c r="A41">
        <v>2016</v>
      </c>
      <c r="B41">
        <v>1</v>
      </c>
      <c r="C41">
        <v>40</v>
      </c>
      <c r="D41">
        <v>40</v>
      </c>
      <c r="E41" t="s">
        <v>81</v>
      </c>
      <c r="F41" t="s">
        <v>379</v>
      </c>
      <c r="G41" t="s">
        <v>9</v>
      </c>
      <c r="H41">
        <v>-1.7</v>
      </c>
      <c r="N41">
        <v>117</v>
      </c>
      <c r="O41">
        <v>11</v>
      </c>
      <c r="P41">
        <v>24</v>
      </c>
      <c r="Q41">
        <v>5.57</v>
      </c>
      <c r="R41">
        <v>1.53</v>
      </c>
      <c r="S41">
        <v>1</v>
      </c>
      <c r="T41" t="s">
        <v>52</v>
      </c>
      <c r="U41">
        <f t="shared" si="0"/>
        <v>1</v>
      </c>
      <c r="V41" t="str">
        <f t="shared" si="1"/>
        <v>MLB</v>
      </c>
      <c r="W41" t="s">
        <v>1685</v>
      </c>
    </row>
    <row r="42" spans="1:23">
      <c r="A42">
        <v>2016</v>
      </c>
      <c r="B42">
        <v>1</v>
      </c>
      <c r="C42">
        <v>41</v>
      </c>
      <c r="D42">
        <v>41</v>
      </c>
      <c r="E42" t="s">
        <v>50</v>
      </c>
      <c r="F42" t="s">
        <v>227</v>
      </c>
      <c r="G42" t="s">
        <v>9</v>
      </c>
      <c r="H42">
        <v>8.3000000000000007</v>
      </c>
      <c r="N42">
        <v>78</v>
      </c>
      <c r="O42">
        <v>24</v>
      </c>
      <c r="P42">
        <v>23</v>
      </c>
      <c r="Q42">
        <v>4.17</v>
      </c>
      <c r="R42">
        <v>1.22</v>
      </c>
      <c r="S42">
        <v>0</v>
      </c>
      <c r="T42" t="s">
        <v>52</v>
      </c>
      <c r="U42">
        <f t="shared" si="0"/>
        <v>1</v>
      </c>
      <c r="V42" t="str">
        <f t="shared" si="1"/>
        <v>MLB</v>
      </c>
      <c r="W42" t="s">
        <v>1686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8A97-E710-4B2E-A74B-024BDDEAA92C}">
  <dimension ref="A1:W37"/>
  <sheetViews>
    <sheetView workbookViewId="0">
      <selection activeCell="W1" sqref="W1"/>
    </sheetView>
  </sheetViews>
  <sheetFormatPr defaultRowHeight="14.5"/>
  <cols>
    <col min="1" max="1" width="4.81640625" bestFit="1" customWidth="1"/>
    <col min="2" max="2" width="3.90625" bestFit="1" customWidth="1"/>
    <col min="3" max="3" width="6" bestFit="1" customWidth="1"/>
    <col min="4" max="4" width="5.90625" bestFit="1" customWidth="1"/>
    <col min="5" max="5" width="13" bestFit="1" customWidth="1"/>
    <col min="6" max="6" width="22.1796875" bestFit="1" customWidth="1"/>
    <col min="7" max="7" width="4.26953125" bestFit="1" customWidth="1"/>
    <col min="8" max="8" width="4.81640625" bestFit="1" customWidth="1"/>
    <col min="9" max="9" width="3.81640625" bestFit="1" customWidth="1"/>
    <col min="10" max="10" width="4.81640625" bestFit="1" customWidth="1"/>
    <col min="11" max="11" width="3.81640625" bestFit="1" customWidth="1"/>
    <col min="12" max="13" width="5.81640625" bestFit="1" customWidth="1"/>
    <col min="14" max="14" width="3.81640625" bestFit="1" customWidth="1"/>
    <col min="15" max="16" width="2.81640625" bestFit="1" customWidth="1"/>
    <col min="17" max="17" width="4.81640625" bestFit="1" customWidth="1"/>
    <col min="18" max="18" width="5.26953125" bestFit="1" customWidth="1"/>
    <col min="19" max="19" width="2.90625" bestFit="1" customWidth="1"/>
    <col min="20" max="20" width="4.54296875" bestFit="1" customWidth="1"/>
    <col min="21" max="21" width="4" bestFit="1" customWidth="1"/>
  </cols>
  <sheetData>
    <row r="1" spans="1:23">
      <c r="A1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>
        <v>2017</v>
      </c>
      <c r="B2">
        <v>1</v>
      </c>
      <c r="C2">
        <v>1</v>
      </c>
      <c r="D2">
        <v>1</v>
      </c>
      <c r="E2" t="s">
        <v>75</v>
      </c>
      <c r="F2" t="s">
        <v>304</v>
      </c>
      <c r="G2" t="s">
        <v>5</v>
      </c>
      <c r="H2">
        <v>3.8</v>
      </c>
      <c r="I2">
        <v>285</v>
      </c>
      <c r="J2">
        <v>1015</v>
      </c>
      <c r="K2">
        <v>49</v>
      </c>
      <c r="L2">
        <v>0.247</v>
      </c>
      <c r="M2">
        <v>0.745</v>
      </c>
      <c r="T2" t="s">
        <v>52</v>
      </c>
      <c r="U2">
        <f>IF(ISNUMBER(SEARCH("HS",T2)),1,0)</f>
        <v>1</v>
      </c>
      <c r="V2" t="str">
        <f>IF(ISNUMBER(H2),"MLB","")</f>
        <v>MLB</v>
      </c>
      <c r="W2" t="s">
        <v>1687</v>
      </c>
    </row>
    <row r="3" spans="1:23">
      <c r="A3">
        <v>2017</v>
      </c>
      <c r="B3">
        <v>1</v>
      </c>
      <c r="C3">
        <v>2</v>
      </c>
      <c r="D3">
        <v>2</v>
      </c>
      <c r="E3" t="s">
        <v>35</v>
      </c>
      <c r="F3" t="s">
        <v>305</v>
      </c>
      <c r="G3" t="s">
        <v>8</v>
      </c>
      <c r="H3">
        <v>13.3</v>
      </c>
      <c r="N3">
        <v>91</v>
      </c>
      <c r="O3">
        <v>25</v>
      </c>
      <c r="P3">
        <v>29</v>
      </c>
      <c r="Q3">
        <v>3.65</v>
      </c>
      <c r="R3">
        <v>1.1399999999999999</v>
      </c>
      <c r="S3">
        <v>0</v>
      </c>
      <c r="T3" t="s">
        <v>52</v>
      </c>
      <c r="U3">
        <f t="shared" ref="U3:U37" si="0">IF(ISNUMBER(SEARCH("HS",T3)),1,0)</f>
        <v>1</v>
      </c>
      <c r="V3" t="str">
        <f t="shared" ref="V3:V37" si="1">IF(ISNUMBER(H3),"MLB","")</f>
        <v>MLB</v>
      </c>
      <c r="W3" t="s">
        <v>1688</v>
      </c>
    </row>
    <row r="4" spans="1:23">
      <c r="A4">
        <v>2017</v>
      </c>
      <c r="B4">
        <v>1</v>
      </c>
      <c r="C4">
        <v>3</v>
      </c>
      <c r="D4">
        <v>3</v>
      </c>
      <c r="E4" t="s">
        <v>83</v>
      </c>
      <c r="F4" t="s">
        <v>306</v>
      </c>
      <c r="G4" t="s">
        <v>9</v>
      </c>
      <c r="H4">
        <v>6.2</v>
      </c>
      <c r="N4">
        <v>114</v>
      </c>
      <c r="O4">
        <v>29</v>
      </c>
      <c r="P4">
        <v>44</v>
      </c>
      <c r="Q4">
        <v>4.22</v>
      </c>
      <c r="R4">
        <v>1.39</v>
      </c>
      <c r="S4">
        <v>0</v>
      </c>
      <c r="T4" t="s">
        <v>52</v>
      </c>
      <c r="U4">
        <f t="shared" si="0"/>
        <v>1</v>
      </c>
      <c r="V4" t="str">
        <f t="shared" si="1"/>
        <v>MLB</v>
      </c>
      <c r="W4" t="s">
        <v>1689</v>
      </c>
    </row>
    <row r="5" spans="1:23">
      <c r="A5">
        <v>2017</v>
      </c>
      <c r="B5">
        <v>1</v>
      </c>
      <c r="C5">
        <v>4</v>
      </c>
      <c r="D5">
        <v>4</v>
      </c>
      <c r="E5" t="s">
        <v>69</v>
      </c>
      <c r="F5" t="s">
        <v>307</v>
      </c>
      <c r="G5" t="s">
        <v>3</v>
      </c>
      <c r="H5">
        <v>-0.1</v>
      </c>
      <c r="N5">
        <v>13</v>
      </c>
      <c r="O5">
        <v>2</v>
      </c>
      <c r="P5">
        <v>4</v>
      </c>
      <c r="Q5">
        <v>5.14</v>
      </c>
      <c r="R5">
        <v>1.41</v>
      </c>
      <c r="S5">
        <v>0</v>
      </c>
      <c r="T5" t="s">
        <v>34</v>
      </c>
      <c r="U5">
        <f t="shared" si="0"/>
        <v>0</v>
      </c>
      <c r="V5" t="str">
        <f t="shared" si="1"/>
        <v>MLB</v>
      </c>
      <c r="W5" t="s">
        <v>1690</v>
      </c>
    </row>
    <row r="6" spans="1:23">
      <c r="A6">
        <v>2017</v>
      </c>
      <c r="B6">
        <v>1</v>
      </c>
      <c r="C6">
        <v>5</v>
      </c>
      <c r="D6">
        <v>5</v>
      </c>
      <c r="E6" t="s">
        <v>81</v>
      </c>
      <c r="F6" t="s">
        <v>308</v>
      </c>
      <c r="G6" t="s">
        <v>8</v>
      </c>
      <c r="H6">
        <v>2.6</v>
      </c>
      <c r="N6">
        <v>60</v>
      </c>
      <c r="O6">
        <v>24</v>
      </c>
      <c r="P6">
        <v>16</v>
      </c>
      <c r="Q6">
        <v>4.45</v>
      </c>
      <c r="R6">
        <v>1.36</v>
      </c>
      <c r="S6">
        <v>0</v>
      </c>
      <c r="T6" t="s">
        <v>34</v>
      </c>
      <c r="U6">
        <f t="shared" si="0"/>
        <v>0</v>
      </c>
      <c r="V6" t="str">
        <f t="shared" si="1"/>
        <v>MLB</v>
      </c>
      <c r="W6" t="s">
        <v>1691</v>
      </c>
    </row>
    <row r="7" spans="1:23">
      <c r="A7">
        <v>2017</v>
      </c>
      <c r="B7">
        <v>1</v>
      </c>
      <c r="C7">
        <v>6</v>
      </c>
      <c r="D7">
        <v>6</v>
      </c>
      <c r="E7" t="s">
        <v>39</v>
      </c>
      <c r="F7" t="s">
        <v>309</v>
      </c>
      <c r="G7" t="s">
        <v>2</v>
      </c>
      <c r="T7" t="s">
        <v>52</v>
      </c>
      <c r="U7">
        <f t="shared" si="0"/>
        <v>1</v>
      </c>
      <c r="V7" t="s">
        <v>12</v>
      </c>
      <c r="W7">
        <v>-9999</v>
      </c>
    </row>
    <row r="8" spans="1:23">
      <c r="A8">
        <v>2017</v>
      </c>
      <c r="B8">
        <v>1</v>
      </c>
      <c r="C8">
        <v>7</v>
      </c>
      <c r="D8">
        <v>7</v>
      </c>
      <c r="E8" t="s">
        <v>91</v>
      </c>
      <c r="F8" t="s">
        <v>310</v>
      </c>
      <c r="G8" t="s">
        <v>3</v>
      </c>
      <c r="H8">
        <v>0.7</v>
      </c>
      <c r="I8">
        <v>450</v>
      </c>
      <c r="J8">
        <v>1358</v>
      </c>
      <c r="K8">
        <v>45</v>
      </c>
      <c r="L8">
        <v>0.246</v>
      </c>
      <c r="M8">
        <v>0.73599999999999999</v>
      </c>
      <c r="T8" t="s">
        <v>34</v>
      </c>
      <c r="U8">
        <f t="shared" si="0"/>
        <v>0</v>
      </c>
      <c r="V8" t="str">
        <f t="shared" si="1"/>
        <v>MLB</v>
      </c>
      <c r="W8" t="s">
        <v>1692</v>
      </c>
    </row>
    <row r="9" spans="1:23">
      <c r="A9">
        <v>2017</v>
      </c>
      <c r="B9">
        <v>1</v>
      </c>
      <c r="C9">
        <v>8</v>
      </c>
      <c r="D9">
        <v>8</v>
      </c>
      <c r="E9" t="s">
        <v>87</v>
      </c>
      <c r="F9" t="s">
        <v>311</v>
      </c>
      <c r="G9" t="s">
        <v>2</v>
      </c>
      <c r="H9">
        <v>1.5</v>
      </c>
      <c r="I9">
        <v>158</v>
      </c>
      <c r="J9">
        <v>379</v>
      </c>
      <c r="K9">
        <v>5</v>
      </c>
      <c r="L9">
        <v>0.25900000000000001</v>
      </c>
      <c r="M9">
        <v>0.67500000000000004</v>
      </c>
      <c r="T9" t="s">
        <v>34</v>
      </c>
      <c r="U9">
        <f t="shared" si="0"/>
        <v>0</v>
      </c>
      <c r="V9" t="str">
        <f t="shared" si="1"/>
        <v>MLB</v>
      </c>
      <c r="W9" t="s">
        <v>1693</v>
      </c>
    </row>
    <row r="10" spans="1:23">
      <c r="A10">
        <v>2017</v>
      </c>
      <c r="B10">
        <v>1</v>
      </c>
      <c r="C10">
        <v>9</v>
      </c>
      <c r="D10">
        <v>9</v>
      </c>
      <c r="E10" t="s">
        <v>67</v>
      </c>
      <c r="F10" t="s">
        <v>312</v>
      </c>
      <c r="G10" t="s">
        <v>0</v>
      </c>
      <c r="H10">
        <v>0.9</v>
      </c>
      <c r="I10">
        <v>302</v>
      </c>
      <c r="J10">
        <v>983</v>
      </c>
      <c r="K10">
        <v>50</v>
      </c>
      <c r="L10">
        <v>0.23499999999999999</v>
      </c>
      <c r="M10">
        <v>0.755</v>
      </c>
      <c r="T10" t="s">
        <v>34</v>
      </c>
      <c r="U10">
        <f t="shared" si="0"/>
        <v>0</v>
      </c>
      <c r="V10" t="str">
        <f t="shared" si="1"/>
        <v>MLB</v>
      </c>
      <c r="W10" t="s">
        <v>1694</v>
      </c>
    </row>
    <row r="11" spans="1:23">
      <c r="A11">
        <v>2017</v>
      </c>
      <c r="B11">
        <v>1</v>
      </c>
      <c r="C11">
        <v>10</v>
      </c>
      <c r="D11">
        <v>10</v>
      </c>
      <c r="E11" t="s">
        <v>48</v>
      </c>
      <c r="F11" t="s">
        <v>313</v>
      </c>
      <c r="G11" t="s">
        <v>2</v>
      </c>
      <c r="H11">
        <v>0.8</v>
      </c>
      <c r="I11">
        <v>504</v>
      </c>
      <c r="J11">
        <v>1682</v>
      </c>
      <c r="K11">
        <v>81</v>
      </c>
      <c r="L11">
        <v>0.22500000000000001</v>
      </c>
      <c r="M11">
        <v>0.69599999999999995</v>
      </c>
      <c r="T11" t="s">
        <v>52</v>
      </c>
      <c r="U11">
        <f t="shared" si="0"/>
        <v>1</v>
      </c>
      <c r="V11" t="str">
        <f t="shared" si="1"/>
        <v>MLB</v>
      </c>
      <c r="W11" t="s">
        <v>1695</v>
      </c>
    </row>
    <row r="12" spans="1:23">
      <c r="A12">
        <v>2017</v>
      </c>
      <c r="B12">
        <v>1</v>
      </c>
      <c r="C12">
        <v>11</v>
      </c>
      <c r="D12">
        <v>11</v>
      </c>
      <c r="E12" t="s">
        <v>41</v>
      </c>
      <c r="F12" t="s">
        <v>314</v>
      </c>
      <c r="G12" t="s">
        <v>11</v>
      </c>
      <c r="H12">
        <v>4.9000000000000004</v>
      </c>
      <c r="I12">
        <v>488</v>
      </c>
      <c r="J12">
        <v>1748</v>
      </c>
      <c r="K12">
        <v>95</v>
      </c>
      <c r="L12">
        <v>0.245</v>
      </c>
      <c r="M12">
        <v>0.75600000000000001</v>
      </c>
      <c r="T12" t="s">
        <v>34</v>
      </c>
      <c r="U12">
        <f t="shared" si="0"/>
        <v>0</v>
      </c>
      <c r="V12" t="str">
        <f t="shared" si="1"/>
        <v>MLB</v>
      </c>
      <c r="W12" t="s">
        <v>1696</v>
      </c>
    </row>
    <row r="13" spans="1:23">
      <c r="A13">
        <v>2017</v>
      </c>
      <c r="B13">
        <v>1</v>
      </c>
      <c r="C13">
        <v>12</v>
      </c>
      <c r="D13">
        <v>12</v>
      </c>
      <c r="E13" t="s">
        <v>50</v>
      </c>
      <c r="F13" t="s">
        <v>315</v>
      </c>
      <c r="G13" t="s">
        <v>8</v>
      </c>
      <c r="H13">
        <v>2.9</v>
      </c>
      <c r="N13">
        <v>62</v>
      </c>
      <c r="O13">
        <v>18</v>
      </c>
      <c r="P13">
        <v>21</v>
      </c>
      <c r="Q13">
        <v>4.41</v>
      </c>
      <c r="R13">
        <v>1.27</v>
      </c>
      <c r="S13">
        <v>0</v>
      </c>
      <c r="T13" t="s">
        <v>52</v>
      </c>
      <c r="U13">
        <f t="shared" si="0"/>
        <v>1</v>
      </c>
      <c r="V13" t="str">
        <f t="shared" si="1"/>
        <v>MLB</v>
      </c>
      <c r="W13" t="s">
        <v>1697</v>
      </c>
    </row>
    <row r="14" spans="1:23">
      <c r="A14">
        <v>2017</v>
      </c>
      <c r="B14">
        <v>1</v>
      </c>
      <c r="C14">
        <v>13</v>
      </c>
      <c r="D14">
        <v>13</v>
      </c>
      <c r="E14" t="s">
        <v>65</v>
      </c>
      <c r="F14" t="s">
        <v>316</v>
      </c>
      <c r="G14" t="s">
        <v>9</v>
      </c>
      <c r="H14">
        <v>8.6999999999999993</v>
      </c>
      <c r="N14">
        <v>109</v>
      </c>
      <c r="O14">
        <v>26</v>
      </c>
      <c r="P14">
        <v>41</v>
      </c>
      <c r="Q14">
        <v>3.95</v>
      </c>
      <c r="R14">
        <v>1.32</v>
      </c>
      <c r="S14">
        <v>0</v>
      </c>
      <c r="T14" t="s">
        <v>52</v>
      </c>
      <c r="U14">
        <f t="shared" si="0"/>
        <v>1</v>
      </c>
      <c r="V14" t="str">
        <f t="shared" si="1"/>
        <v>MLB</v>
      </c>
      <c r="W14" t="s">
        <v>1698</v>
      </c>
    </row>
    <row r="15" spans="1:23">
      <c r="A15">
        <v>2017</v>
      </c>
      <c r="B15">
        <v>1</v>
      </c>
      <c r="C15">
        <v>14</v>
      </c>
      <c r="D15">
        <v>14</v>
      </c>
      <c r="E15" t="s">
        <v>43</v>
      </c>
      <c r="F15" t="s">
        <v>317</v>
      </c>
      <c r="G15" t="s">
        <v>3</v>
      </c>
      <c r="H15">
        <v>-1.6</v>
      </c>
      <c r="I15">
        <v>144</v>
      </c>
      <c r="J15">
        <v>464</v>
      </c>
      <c r="K15">
        <v>14</v>
      </c>
      <c r="L15">
        <v>0.216</v>
      </c>
      <c r="M15">
        <v>0.65900000000000003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 t="s">
        <v>52</v>
      </c>
      <c r="U15">
        <f t="shared" si="0"/>
        <v>1</v>
      </c>
      <c r="V15" t="str">
        <f t="shared" si="1"/>
        <v>MLB</v>
      </c>
      <c r="W15" t="s">
        <v>1699</v>
      </c>
    </row>
    <row r="16" spans="1:23">
      <c r="A16">
        <v>2017</v>
      </c>
      <c r="B16">
        <v>1</v>
      </c>
      <c r="C16">
        <v>15</v>
      </c>
      <c r="D16">
        <v>15</v>
      </c>
      <c r="E16" t="s">
        <v>89</v>
      </c>
      <c r="F16" t="s">
        <v>318</v>
      </c>
      <c r="G16" t="s">
        <v>8</v>
      </c>
      <c r="H16">
        <v>-0.7</v>
      </c>
      <c r="N16">
        <v>33</v>
      </c>
      <c r="O16">
        <v>2</v>
      </c>
      <c r="P16">
        <v>2</v>
      </c>
      <c r="Q16">
        <v>5.04</v>
      </c>
      <c r="R16">
        <v>1.45</v>
      </c>
      <c r="S16">
        <v>0</v>
      </c>
      <c r="T16" t="s">
        <v>34</v>
      </c>
      <c r="U16">
        <f t="shared" si="0"/>
        <v>0</v>
      </c>
      <c r="V16" t="str">
        <f t="shared" si="1"/>
        <v>MLB</v>
      </c>
      <c r="W16" t="s">
        <v>1700</v>
      </c>
    </row>
    <row r="17" spans="1:23">
      <c r="A17">
        <v>2017</v>
      </c>
      <c r="B17">
        <v>1</v>
      </c>
      <c r="C17">
        <v>16</v>
      </c>
      <c r="D17">
        <v>16</v>
      </c>
      <c r="E17" t="s">
        <v>85</v>
      </c>
      <c r="F17" t="s">
        <v>319</v>
      </c>
      <c r="G17" t="s">
        <v>8</v>
      </c>
      <c r="H17">
        <v>4.8</v>
      </c>
      <c r="N17">
        <v>97</v>
      </c>
      <c r="O17">
        <v>23</v>
      </c>
      <c r="P17">
        <v>24</v>
      </c>
      <c r="Q17">
        <v>3.82</v>
      </c>
      <c r="R17">
        <v>1.27</v>
      </c>
      <c r="S17">
        <v>2</v>
      </c>
      <c r="T17" t="s">
        <v>34</v>
      </c>
      <c r="U17">
        <f t="shared" si="0"/>
        <v>0</v>
      </c>
      <c r="V17" t="str">
        <f t="shared" si="1"/>
        <v>MLB</v>
      </c>
      <c r="W17" t="s">
        <v>1701</v>
      </c>
    </row>
    <row r="18" spans="1:23">
      <c r="A18">
        <v>2017</v>
      </c>
      <c r="B18">
        <v>1</v>
      </c>
      <c r="C18">
        <v>17</v>
      </c>
      <c r="D18">
        <v>17</v>
      </c>
      <c r="E18" t="s">
        <v>63</v>
      </c>
      <c r="F18" t="s">
        <v>320</v>
      </c>
      <c r="G18" t="s">
        <v>3</v>
      </c>
      <c r="H18">
        <v>-0.7</v>
      </c>
      <c r="I18">
        <v>84</v>
      </c>
      <c r="J18">
        <v>279</v>
      </c>
      <c r="K18">
        <v>10</v>
      </c>
      <c r="L18">
        <v>0.16500000000000001</v>
      </c>
      <c r="M18">
        <v>0.54400000000000004</v>
      </c>
      <c r="T18" t="s">
        <v>34</v>
      </c>
      <c r="U18">
        <f t="shared" si="0"/>
        <v>0</v>
      </c>
      <c r="V18" t="str">
        <f t="shared" si="1"/>
        <v>MLB</v>
      </c>
      <c r="W18" t="s">
        <v>1702</v>
      </c>
    </row>
    <row r="19" spans="1:23">
      <c r="A19">
        <v>2017</v>
      </c>
      <c r="B19">
        <v>1</v>
      </c>
      <c r="C19">
        <v>18</v>
      </c>
      <c r="D19">
        <v>18</v>
      </c>
      <c r="E19" t="s">
        <v>55</v>
      </c>
      <c r="F19" t="s">
        <v>321</v>
      </c>
      <c r="G19" t="s">
        <v>8</v>
      </c>
      <c r="H19">
        <v>0.7</v>
      </c>
      <c r="N19">
        <v>64</v>
      </c>
      <c r="O19">
        <v>8</v>
      </c>
      <c r="P19">
        <v>13</v>
      </c>
      <c r="Q19">
        <v>4.51</v>
      </c>
      <c r="R19">
        <v>1.33</v>
      </c>
      <c r="S19">
        <v>0</v>
      </c>
      <c r="T19" t="s">
        <v>34</v>
      </c>
      <c r="U19">
        <f t="shared" si="0"/>
        <v>0</v>
      </c>
      <c r="V19" t="str">
        <f t="shared" si="1"/>
        <v>MLB</v>
      </c>
      <c r="W19" t="s">
        <v>1703</v>
      </c>
    </row>
    <row r="20" spans="1:23">
      <c r="A20">
        <v>2017</v>
      </c>
      <c r="B20">
        <v>1</v>
      </c>
      <c r="C20">
        <v>19</v>
      </c>
      <c r="D20">
        <v>19</v>
      </c>
      <c r="E20" t="s">
        <v>59</v>
      </c>
      <c r="F20" t="s">
        <v>322</v>
      </c>
      <c r="G20" t="s">
        <v>2</v>
      </c>
      <c r="H20">
        <v>3.3</v>
      </c>
      <c r="I20">
        <v>354</v>
      </c>
      <c r="J20">
        <v>1329</v>
      </c>
      <c r="K20">
        <v>48</v>
      </c>
      <c r="L20">
        <v>0.25700000000000001</v>
      </c>
      <c r="M20">
        <v>0.73899999999999999</v>
      </c>
      <c r="T20" t="s">
        <v>52</v>
      </c>
      <c r="U20">
        <f t="shared" si="0"/>
        <v>1</v>
      </c>
      <c r="V20" t="str">
        <f t="shared" si="1"/>
        <v>MLB</v>
      </c>
      <c r="W20" t="s">
        <v>1704</v>
      </c>
    </row>
    <row r="21" spans="1:23">
      <c r="A21">
        <v>2017</v>
      </c>
      <c r="B21">
        <v>1</v>
      </c>
      <c r="C21">
        <v>20</v>
      </c>
      <c r="D21">
        <v>20</v>
      </c>
      <c r="E21" t="s">
        <v>71</v>
      </c>
      <c r="F21" t="s">
        <v>323</v>
      </c>
      <c r="G21" t="s">
        <v>9</v>
      </c>
      <c r="H21">
        <v>6.1</v>
      </c>
      <c r="N21">
        <v>140</v>
      </c>
      <c r="O21">
        <v>38</v>
      </c>
      <c r="P21">
        <v>34</v>
      </c>
      <c r="Q21">
        <v>4.2</v>
      </c>
      <c r="R21">
        <v>1.38</v>
      </c>
      <c r="S21">
        <v>0</v>
      </c>
      <c r="T21" t="s">
        <v>34</v>
      </c>
      <c r="U21">
        <f t="shared" si="0"/>
        <v>0</v>
      </c>
      <c r="V21" t="str">
        <f t="shared" si="1"/>
        <v>MLB</v>
      </c>
      <c r="W21" t="s">
        <v>1705</v>
      </c>
    </row>
    <row r="22" spans="1:23">
      <c r="A22">
        <v>2017</v>
      </c>
      <c r="B22">
        <v>1</v>
      </c>
      <c r="C22">
        <v>21</v>
      </c>
      <c r="D22">
        <v>21</v>
      </c>
      <c r="E22" t="s">
        <v>77</v>
      </c>
      <c r="F22" t="s">
        <v>324</v>
      </c>
      <c r="G22" t="s">
        <v>9</v>
      </c>
      <c r="H22">
        <v>1</v>
      </c>
      <c r="N22">
        <v>79</v>
      </c>
      <c r="O22">
        <v>6</v>
      </c>
      <c r="P22">
        <v>3</v>
      </c>
      <c r="Q22">
        <v>3.97</v>
      </c>
      <c r="R22">
        <v>1.35</v>
      </c>
      <c r="S22">
        <v>1</v>
      </c>
      <c r="T22" t="s">
        <v>52</v>
      </c>
      <c r="U22">
        <f t="shared" si="0"/>
        <v>1</v>
      </c>
      <c r="V22" t="str">
        <f t="shared" si="1"/>
        <v>MLB</v>
      </c>
      <c r="W22" t="s">
        <v>1706</v>
      </c>
    </row>
    <row r="23" spans="1:23">
      <c r="A23">
        <v>2017</v>
      </c>
      <c r="B23">
        <v>1</v>
      </c>
      <c r="C23">
        <v>22</v>
      </c>
      <c r="D23">
        <v>22</v>
      </c>
      <c r="E23" t="s">
        <v>73</v>
      </c>
      <c r="F23" t="s">
        <v>325</v>
      </c>
      <c r="G23" t="s">
        <v>5</v>
      </c>
      <c r="T23" t="s">
        <v>34</v>
      </c>
      <c r="U23">
        <f t="shared" si="0"/>
        <v>0</v>
      </c>
      <c r="V23" t="s">
        <v>13</v>
      </c>
      <c r="W23">
        <v>-9999</v>
      </c>
    </row>
    <row r="24" spans="1:23">
      <c r="A24">
        <v>2017</v>
      </c>
      <c r="B24">
        <v>1</v>
      </c>
      <c r="C24">
        <v>23</v>
      </c>
      <c r="D24">
        <v>23</v>
      </c>
      <c r="E24" t="s">
        <v>79</v>
      </c>
      <c r="F24" t="s">
        <v>326</v>
      </c>
      <c r="G24" t="s">
        <v>2</v>
      </c>
      <c r="T24" t="s">
        <v>34</v>
      </c>
      <c r="U24">
        <f t="shared" si="0"/>
        <v>0</v>
      </c>
      <c r="V24" t="s">
        <v>13</v>
      </c>
      <c r="W24">
        <v>-9999</v>
      </c>
    </row>
    <row r="25" spans="1:23">
      <c r="A25">
        <v>2017</v>
      </c>
      <c r="B25">
        <v>1</v>
      </c>
      <c r="C25">
        <v>24</v>
      </c>
      <c r="D25">
        <v>24</v>
      </c>
      <c r="E25" t="s">
        <v>57</v>
      </c>
      <c r="F25" t="s">
        <v>327</v>
      </c>
      <c r="G25" t="s">
        <v>8</v>
      </c>
      <c r="H25">
        <v>7.6</v>
      </c>
      <c r="N25">
        <v>113</v>
      </c>
      <c r="O25">
        <v>24</v>
      </c>
      <c r="P25">
        <v>32</v>
      </c>
      <c r="Q25">
        <v>3.97</v>
      </c>
      <c r="R25">
        <v>1.24</v>
      </c>
      <c r="S25">
        <v>9</v>
      </c>
      <c r="T25" t="s">
        <v>34</v>
      </c>
      <c r="U25">
        <f t="shared" si="0"/>
        <v>0</v>
      </c>
      <c r="V25" t="str">
        <f t="shared" si="1"/>
        <v>MLB</v>
      </c>
      <c r="W25" t="s">
        <v>1707</v>
      </c>
    </row>
    <row r="26" spans="1:23">
      <c r="A26">
        <v>2017</v>
      </c>
      <c r="B26">
        <v>1</v>
      </c>
      <c r="C26">
        <v>25</v>
      </c>
      <c r="D26">
        <v>25</v>
      </c>
      <c r="E26" t="s">
        <v>53</v>
      </c>
      <c r="F26" t="s">
        <v>328</v>
      </c>
      <c r="G26" t="s">
        <v>9</v>
      </c>
      <c r="H26">
        <v>-0.2</v>
      </c>
      <c r="N26">
        <v>3</v>
      </c>
      <c r="O26">
        <v>0</v>
      </c>
      <c r="P26">
        <v>0</v>
      </c>
      <c r="Q26">
        <v>13.5</v>
      </c>
      <c r="R26">
        <v>3</v>
      </c>
      <c r="S26">
        <v>0</v>
      </c>
      <c r="T26" t="s">
        <v>34</v>
      </c>
      <c r="U26">
        <f t="shared" si="0"/>
        <v>0</v>
      </c>
      <c r="V26" t="str">
        <f t="shared" si="1"/>
        <v>MLB</v>
      </c>
      <c r="W26" t="s">
        <v>1708</v>
      </c>
    </row>
    <row r="27" spans="1:23">
      <c r="A27">
        <v>2017</v>
      </c>
      <c r="B27">
        <v>1</v>
      </c>
      <c r="C27">
        <v>26</v>
      </c>
      <c r="D27">
        <v>26</v>
      </c>
      <c r="E27" t="s">
        <v>93</v>
      </c>
      <c r="F27" t="s">
        <v>329</v>
      </c>
      <c r="G27" t="s">
        <v>2</v>
      </c>
      <c r="H27">
        <v>-0.6</v>
      </c>
      <c r="I27">
        <v>109</v>
      </c>
      <c r="J27">
        <v>241</v>
      </c>
      <c r="K27">
        <v>1</v>
      </c>
      <c r="L27">
        <v>0.23200000000000001</v>
      </c>
      <c r="M27">
        <v>0.56799999999999995</v>
      </c>
      <c r="T27" t="s">
        <v>52</v>
      </c>
      <c r="U27">
        <f t="shared" si="0"/>
        <v>1</v>
      </c>
      <c r="V27" t="str">
        <f t="shared" si="1"/>
        <v>MLB</v>
      </c>
      <c r="W27" t="s">
        <v>1709</v>
      </c>
    </row>
    <row r="28" spans="1:23">
      <c r="A28">
        <v>2017</v>
      </c>
      <c r="B28">
        <v>1</v>
      </c>
      <c r="C28">
        <v>27</v>
      </c>
      <c r="D28">
        <v>27</v>
      </c>
      <c r="E28" t="s">
        <v>61</v>
      </c>
      <c r="F28" t="s">
        <v>330</v>
      </c>
      <c r="G28" t="s">
        <v>9</v>
      </c>
      <c r="H28">
        <v>-0.2</v>
      </c>
      <c r="N28">
        <v>134</v>
      </c>
      <c r="O28">
        <v>5</v>
      </c>
      <c r="P28">
        <v>7</v>
      </c>
      <c r="Q28">
        <v>4.18</v>
      </c>
      <c r="R28">
        <v>1.43</v>
      </c>
      <c r="S28">
        <v>2</v>
      </c>
      <c r="T28" t="s">
        <v>163</v>
      </c>
      <c r="U28">
        <f t="shared" si="0"/>
        <v>0</v>
      </c>
      <c r="V28" t="str">
        <f t="shared" si="1"/>
        <v>MLB</v>
      </c>
      <c r="W28" t="s">
        <v>1710</v>
      </c>
    </row>
    <row r="29" spans="1:23">
      <c r="A29">
        <v>2017</v>
      </c>
      <c r="B29">
        <v>1</v>
      </c>
      <c r="C29">
        <v>28</v>
      </c>
      <c r="D29">
        <v>28</v>
      </c>
      <c r="E29" t="s">
        <v>73</v>
      </c>
      <c r="F29" t="s">
        <v>331</v>
      </c>
      <c r="G29" t="s">
        <v>8</v>
      </c>
      <c r="H29">
        <v>-1</v>
      </c>
      <c r="N29">
        <v>123</v>
      </c>
      <c r="O29">
        <v>9</v>
      </c>
      <c r="P29">
        <v>6</v>
      </c>
      <c r="Q29">
        <v>5.17</v>
      </c>
      <c r="R29">
        <v>1.45</v>
      </c>
      <c r="S29">
        <v>3</v>
      </c>
      <c r="T29" t="s">
        <v>163</v>
      </c>
      <c r="U29">
        <f t="shared" si="0"/>
        <v>0</v>
      </c>
      <c r="V29" t="str">
        <f t="shared" si="1"/>
        <v>MLB</v>
      </c>
      <c r="W29" t="s">
        <v>1711</v>
      </c>
    </row>
    <row r="30" spans="1:23">
      <c r="A30">
        <v>2017</v>
      </c>
      <c r="B30">
        <v>1</v>
      </c>
      <c r="C30">
        <v>29</v>
      </c>
      <c r="D30">
        <v>29</v>
      </c>
      <c r="E30" t="s">
        <v>93</v>
      </c>
      <c r="F30" t="s">
        <v>332</v>
      </c>
      <c r="G30" t="s">
        <v>5</v>
      </c>
      <c r="T30" t="s">
        <v>52</v>
      </c>
      <c r="U30">
        <f t="shared" si="0"/>
        <v>1</v>
      </c>
      <c r="V30" t="s">
        <v>13</v>
      </c>
      <c r="W30">
        <v>-9999</v>
      </c>
    </row>
    <row r="31" spans="1:23">
      <c r="A31">
        <v>2017</v>
      </c>
      <c r="B31">
        <v>1</v>
      </c>
      <c r="C31">
        <v>30</v>
      </c>
      <c r="D31">
        <v>30</v>
      </c>
      <c r="E31" t="s">
        <v>61</v>
      </c>
      <c r="F31" t="s">
        <v>333</v>
      </c>
      <c r="G31" t="s">
        <v>8</v>
      </c>
      <c r="H31">
        <v>1.1000000000000001</v>
      </c>
      <c r="N31">
        <v>213</v>
      </c>
      <c r="O31">
        <v>15</v>
      </c>
      <c r="P31">
        <v>17</v>
      </c>
      <c r="Q31">
        <v>3.88</v>
      </c>
      <c r="R31">
        <v>1.38</v>
      </c>
      <c r="S31">
        <v>29</v>
      </c>
      <c r="T31" t="s">
        <v>34</v>
      </c>
      <c r="U31">
        <f t="shared" si="0"/>
        <v>0</v>
      </c>
      <c r="V31" t="str">
        <f t="shared" si="1"/>
        <v>MLB</v>
      </c>
      <c r="W31" t="s">
        <v>1712</v>
      </c>
    </row>
    <row r="32" spans="1:23">
      <c r="A32">
        <v>2017</v>
      </c>
      <c r="B32">
        <v>1</v>
      </c>
      <c r="C32">
        <v>31</v>
      </c>
      <c r="D32">
        <v>31</v>
      </c>
      <c r="E32" t="s">
        <v>69</v>
      </c>
      <c r="F32" t="s">
        <v>334</v>
      </c>
      <c r="G32" t="s">
        <v>8</v>
      </c>
      <c r="H32">
        <v>11.7</v>
      </c>
      <c r="N32">
        <v>138</v>
      </c>
      <c r="O32">
        <v>33</v>
      </c>
      <c r="P32">
        <v>18</v>
      </c>
      <c r="Q32">
        <v>2.91</v>
      </c>
      <c r="R32">
        <v>1.05</v>
      </c>
      <c r="S32">
        <v>2</v>
      </c>
      <c r="T32" t="s">
        <v>34</v>
      </c>
      <c r="U32">
        <f t="shared" si="0"/>
        <v>0</v>
      </c>
      <c r="V32" t="str">
        <f t="shared" si="1"/>
        <v>MLB</v>
      </c>
      <c r="W32" t="s">
        <v>1713</v>
      </c>
    </row>
    <row r="33" spans="1:23">
      <c r="A33">
        <v>2017</v>
      </c>
      <c r="B33">
        <v>1</v>
      </c>
      <c r="C33">
        <v>32</v>
      </c>
      <c r="D33">
        <v>32</v>
      </c>
      <c r="E33" t="s">
        <v>35</v>
      </c>
      <c r="F33" t="s">
        <v>335</v>
      </c>
      <c r="G33" t="s">
        <v>5</v>
      </c>
      <c r="H33">
        <v>-0.6</v>
      </c>
      <c r="I33">
        <v>20</v>
      </c>
      <c r="J33">
        <v>44</v>
      </c>
      <c r="K33">
        <v>1</v>
      </c>
      <c r="L33">
        <v>0.182</v>
      </c>
      <c r="M33">
        <v>0.53300000000000003</v>
      </c>
      <c r="T33" t="s">
        <v>52</v>
      </c>
      <c r="U33">
        <f t="shared" si="0"/>
        <v>1</v>
      </c>
      <c r="V33" t="str">
        <f t="shared" si="1"/>
        <v>MLB</v>
      </c>
      <c r="W33" t="s">
        <v>1714</v>
      </c>
    </row>
    <row r="34" spans="1:23">
      <c r="A34">
        <v>2017</v>
      </c>
      <c r="B34">
        <v>1</v>
      </c>
      <c r="C34">
        <v>33</v>
      </c>
      <c r="D34">
        <v>33</v>
      </c>
      <c r="E34" t="s">
        <v>39</v>
      </c>
      <c r="F34" t="s">
        <v>336</v>
      </c>
      <c r="G34" t="s">
        <v>5</v>
      </c>
      <c r="T34" t="s">
        <v>34</v>
      </c>
      <c r="U34">
        <f t="shared" si="0"/>
        <v>0</v>
      </c>
      <c r="V34" t="s">
        <v>12</v>
      </c>
      <c r="W34">
        <v>-9999</v>
      </c>
    </row>
    <row r="35" spans="1:23">
      <c r="A35">
        <v>2017</v>
      </c>
      <c r="B35">
        <v>1</v>
      </c>
      <c r="C35">
        <v>34</v>
      </c>
      <c r="D35">
        <v>34</v>
      </c>
      <c r="E35" t="s">
        <v>67</v>
      </c>
      <c r="F35" t="s">
        <v>337</v>
      </c>
      <c r="G35" t="s">
        <v>2</v>
      </c>
      <c r="T35" t="s">
        <v>52</v>
      </c>
      <c r="U35">
        <f t="shared" si="0"/>
        <v>1</v>
      </c>
      <c r="V35" t="s">
        <v>13</v>
      </c>
      <c r="W35">
        <v>-9999</v>
      </c>
    </row>
    <row r="36" spans="1:23">
      <c r="A36">
        <v>2017</v>
      </c>
      <c r="B36">
        <v>1</v>
      </c>
      <c r="C36">
        <v>35</v>
      </c>
      <c r="D36">
        <v>35</v>
      </c>
      <c r="E36" t="s">
        <v>75</v>
      </c>
      <c r="F36" t="s">
        <v>338</v>
      </c>
      <c r="G36" t="s">
        <v>2</v>
      </c>
      <c r="H36">
        <v>8.5</v>
      </c>
      <c r="I36">
        <v>551</v>
      </c>
      <c r="J36">
        <v>1971</v>
      </c>
      <c r="K36">
        <v>114</v>
      </c>
      <c r="L36">
        <v>0.25600000000000001</v>
      </c>
      <c r="M36">
        <v>0.82</v>
      </c>
      <c r="T36" t="s">
        <v>34</v>
      </c>
      <c r="U36">
        <f t="shared" si="0"/>
        <v>0</v>
      </c>
      <c r="V36" t="str">
        <f t="shared" si="1"/>
        <v>MLB</v>
      </c>
      <c r="W36" t="s">
        <v>1715</v>
      </c>
    </row>
    <row r="37" spans="1:23">
      <c r="A37">
        <v>2017</v>
      </c>
      <c r="B37">
        <v>1</v>
      </c>
      <c r="C37">
        <v>36</v>
      </c>
      <c r="D37">
        <v>36</v>
      </c>
      <c r="E37" t="s">
        <v>65</v>
      </c>
      <c r="F37" t="s">
        <v>339</v>
      </c>
      <c r="G37" t="s">
        <v>2</v>
      </c>
      <c r="H37">
        <v>-0.1</v>
      </c>
      <c r="I37">
        <v>5</v>
      </c>
      <c r="J37">
        <v>11</v>
      </c>
      <c r="K37">
        <v>0</v>
      </c>
      <c r="L37">
        <v>0.27300000000000002</v>
      </c>
      <c r="M37">
        <v>0.54500000000000004</v>
      </c>
      <c r="T37" t="s">
        <v>34</v>
      </c>
      <c r="U37">
        <f t="shared" si="0"/>
        <v>0</v>
      </c>
      <c r="V37" t="str">
        <f t="shared" si="1"/>
        <v>MLB</v>
      </c>
      <c r="W37" t="s">
        <v>1716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6065A-2F57-4C66-85F3-7D8B2648A5A0}">
  <dimension ref="A1:W44"/>
  <sheetViews>
    <sheetView workbookViewId="0">
      <selection activeCell="W1" sqref="W1"/>
    </sheetView>
  </sheetViews>
  <sheetFormatPr defaultRowHeight="14.5"/>
  <cols>
    <col min="1" max="1" width="4.81640625" bestFit="1" customWidth="1"/>
    <col min="2" max="2" width="3.90625" bestFit="1" customWidth="1"/>
    <col min="3" max="3" width="6" bestFit="1" customWidth="1"/>
    <col min="4" max="4" width="5.90625" bestFit="1" customWidth="1"/>
    <col min="5" max="5" width="13" bestFit="1" customWidth="1"/>
    <col min="6" max="6" width="23.90625" bestFit="1" customWidth="1"/>
    <col min="7" max="7" width="4.26953125" bestFit="1" customWidth="1"/>
    <col min="8" max="8" width="4.81640625" bestFit="1" customWidth="1"/>
    <col min="9" max="9" width="3.81640625" bestFit="1" customWidth="1"/>
    <col min="10" max="10" width="4.81640625" bestFit="1" customWidth="1"/>
    <col min="11" max="11" width="3.1796875" bestFit="1" customWidth="1"/>
    <col min="12" max="13" width="5.81640625" bestFit="1" customWidth="1"/>
    <col min="14" max="14" width="3.81640625" bestFit="1" customWidth="1"/>
    <col min="15" max="16" width="2.81640625" bestFit="1" customWidth="1"/>
    <col min="17" max="17" width="4.81640625" bestFit="1" customWidth="1"/>
    <col min="18" max="18" width="5.26953125" bestFit="1" customWidth="1"/>
    <col min="19" max="19" width="2.90625" bestFit="1" customWidth="1"/>
    <col min="20" max="20" width="4.54296875" bestFit="1" customWidth="1"/>
    <col min="21" max="21" width="4" bestFit="1" customWidth="1"/>
  </cols>
  <sheetData>
    <row r="1" spans="1:23">
      <c r="A1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>
        <v>2018</v>
      </c>
      <c r="B2">
        <v>1</v>
      </c>
      <c r="C2">
        <v>1</v>
      </c>
      <c r="D2">
        <v>1</v>
      </c>
      <c r="E2" t="s">
        <v>55</v>
      </c>
      <c r="F2" t="s">
        <v>263</v>
      </c>
      <c r="G2" t="s">
        <v>8</v>
      </c>
      <c r="H2">
        <v>5.9</v>
      </c>
      <c r="N2">
        <v>95</v>
      </c>
      <c r="O2">
        <v>25</v>
      </c>
      <c r="P2">
        <v>27</v>
      </c>
      <c r="Q2">
        <v>4.1100000000000003</v>
      </c>
      <c r="R2">
        <v>1.28</v>
      </c>
      <c r="S2">
        <v>0</v>
      </c>
      <c r="T2" t="s">
        <v>34</v>
      </c>
      <c r="U2">
        <f>IF(ISNUMBER(SEARCH("HS",T2)),1,0)</f>
        <v>0</v>
      </c>
      <c r="V2" t="str">
        <f>IF(ISNUMBER(H2),"MLB","")</f>
        <v>MLB</v>
      </c>
      <c r="W2" t="s">
        <v>1717</v>
      </c>
    </row>
    <row r="3" spans="1:23">
      <c r="A3">
        <v>2018</v>
      </c>
      <c r="B3">
        <v>1</v>
      </c>
      <c r="C3">
        <v>2</v>
      </c>
      <c r="D3">
        <v>2</v>
      </c>
      <c r="E3" t="s">
        <v>59</v>
      </c>
      <c r="F3" t="s">
        <v>264</v>
      </c>
      <c r="G3" t="s">
        <v>6</v>
      </c>
      <c r="H3">
        <v>3.6</v>
      </c>
      <c r="I3">
        <v>356</v>
      </c>
      <c r="J3">
        <v>1053</v>
      </c>
      <c r="K3">
        <v>30</v>
      </c>
      <c r="L3">
        <v>0.24</v>
      </c>
      <c r="M3">
        <v>0.68799999999999994</v>
      </c>
      <c r="T3" t="s">
        <v>34</v>
      </c>
      <c r="U3">
        <f t="shared" ref="U3:U44" si="0">IF(ISNUMBER(SEARCH("HS",T3)),1,0)</f>
        <v>0</v>
      </c>
      <c r="V3" t="str">
        <f t="shared" ref="V3:V41" si="1">IF(ISNUMBER(H3),"MLB","")</f>
        <v>MLB</v>
      </c>
      <c r="W3" t="s">
        <v>1718</v>
      </c>
    </row>
    <row r="4" spans="1:23">
      <c r="A4">
        <v>2018</v>
      </c>
      <c r="B4">
        <v>1</v>
      </c>
      <c r="C4">
        <v>3</v>
      </c>
      <c r="D4">
        <v>3</v>
      </c>
      <c r="E4" t="s">
        <v>87</v>
      </c>
      <c r="F4" t="s">
        <v>265</v>
      </c>
      <c r="G4" t="s">
        <v>11</v>
      </c>
      <c r="H4">
        <v>4.7</v>
      </c>
      <c r="I4">
        <v>758</v>
      </c>
      <c r="J4">
        <v>2842</v>
      </c>
      <c r="K4">
        <v>73</v>
      </c>
      <c r="L4">
        <v>0.27400000000000002</v>
      </c>
      <c r="M4">
        <v>0.73199999999999998</v>
      </c>
      <c r="T4" t="s">
        <v>34</v>
      </c>
      <c r="U4">
        <f t="shared" si="0"/>
        <v>0</v>
      </c>
      <c r="V4" t="str">
        <f t="shared" si="1"/>
        <v>MLB</v>
      </c>
      <c r="W4" t="s">
        <v>1719</v>
      </c>
    </row>
    <row r="5" spans="1:23">
      <c r="A5">
        <v>2018</v>
      </c>
      <c r="B5">
        <v>1</v>
      </c>
      <c r="C5">
        <v>4</v>
      </c>
      <c r="D5">
        <v>4</v>
      </c>
      <c r="E5" t="s">
        <v>41</v>
      </c>
      <c r="F5" t="s">
        <v>266</v>
      </c>
      <c r="G5" t="s">
        <v>5</v>
      </c>
      <c r="H5">
        <v>3.2</v>
      </c>
      <c r="I5">
        <v>285</v>
      </c>
      <c r="J5">
        <v>868</v>
      </c>
      <c r="K5">
        <v>4</v>
      </c>
      <c r="L5">
        <v>0.27400000000000002</v>
      </c>
      <c r="M5">
        <v>0.66700000000000004</v>
      </c>
      <c r="T5" t="s">
        <v>34</v>
      </c>
      <c r="U5">
        <f t="shared" si="0"/>
        <v>0</v>
      </c>
      <c r="V5" t="str">
        <f t="shared" si="1"/>
        <v>MLB</v>
      </c>
      <c r="W5" t="s">
        <v>1720</v>
      </c>
    </row>
    <row r="6" spans="1:23">
      <c r="A6">
        <v>2018</v>
      </c>
      <c r="B6">
        <v>1</v>
      </c>
      <c r="C6">
        <v>5</v>
      </c>
      <c r="D6">
        <v>5</v>
      </c>
      <c r="E6" t="s">
        <v>35</v>
      </c>
      <c r="F6" t="s">
        <v>267</v>
      </c>
      <c r="G6" t="s">
        <v>11</v>
      </c>
      <c r="H6">
        <v>7.3</v>
      </c>
      <c r="I6">
        <v>676</v>
      </c>
      <c r="J6">
        <v>2450</v>
      </c>
      <c r="K6">
        <v>74</v>
      </c>
      <c r="L6">
        <v>0.247</v>
      </c>
      <c r="M6">
        <v>0.74199999999999999</v>
      </c>
      <c r="T6" t="s">
        <v>34</v>
      </c>
      <c r="U6">
        <f t="shared" si="0"/>
        <v>0</v>
      </c>
      <c r="V6" t="str">
        <f t="shared" si="1"/>
        <v>MLB</v>
      </c>
      <c r="W6" t="s">
        <v>1721</v>
      </c>
    </row>
    <row r="7" spans="1:23">
      <c r="A7">
        <v>2018</v>
      </c>
      <c r="B7">
        <v>1</v>
      </c>
      <c r="C7">
        <v>6</v>
      </c>
      <c r="D7">
        <v>6</v>
      </c>
      <c r="E7" t="s">
        <v>71</v>
      </c>
      <c r="F7" t="s">
        <v>268</v>
      </c>
      <c r="G7" t="s">
        <v>2</v>
      </c>
      <c r="H7">
        <v>0.2</v>
      </c>
      <c r="I7">
        <v>418</v>
      </c>
      <c r="J7">
        <v>1373</v>
      </c>
      <c r="K7">
        <v>49</v>
      </c>
      <c r="L7">
        <v>0.21199999999999999</v>
      </c>
      <c r="M7">
        <v>0.65800000000000003</v>
      </c>
      <c r="T7" t="s">
        <v>52</v>
      </c>
      <c r="U7">
        <f t="shared" si="0"/>
        <v>1</v>
      </c>
      <c r="V7" t="str">
        <f t="shared" si="1"/>
        <v>MLB</v>
      </c>
      <c r="W7" t="s">
        <v>1722</v>
      </c>
    </row>
    <row r="8" spans="1:23">
      <c r="A8">
        <v>2018</v>
      </c>
      <c r="B8">
        <v>1</v>
      </c>
      <c r="C8">
        <v>7</v>
      </c>
      <c r="D8">
        <v>7</v>
      </c>
      <c r="E8" t="s">
        <v>83</v>
      </c>
      <c r="F8" t="s">
        <v>269</v>
      </c>
      <c r="G8" t="s">
        <v>9</v>
      </c>
      <c r="H8">
        <v>2.1</v>
      </c>
      <c r="N8">
        <v>78</v>
      </c>
      <c r="O8">
        <v>14</v>
      </c>
      <c r="P8">
        <v>25</v>
      </c>
      <c r="Q8">
        <v>4.67</v>
      </c>
      <c r="R8">
        <v>1.35</v>
      </c>
      <c r="S8">
        <v>1</v>
      </c>
      <c r="T8" t="s">
        <v>52</v>
      </c>
      <c r="U8">
        <f t="shared" si="0"/>
        <v>1</v>
      </c>
      <c r="V8" t="str">
        <f t="shared" si="1"/>
        <v>MLB</v>
      </c>
      <c r="W8" t="s">
        <v>1723</v>
      </c>
    </row>
    <row r="9" spans="1:23">
      <c r="A9">
        <v>2018</v>
      </c>
      <c r="B9">
        <v>1</v>
      </c>
      <c r="C9">
        <v>8</v>
      </c>
      <c r="D9">
        <v>8</v>
      </c>
      <c r="E9" t="s">
        <v>81</v>
      </c>
      <c r="F9" t="s">
        <v>270</v>
      </c>
      <c r="G9" t="s">
        <v>8</v>
      </c>
      <c r="T9" t="s">
        <v>52</v>
      </c>
      <c r="U9">
        <f t="shared" si="0"/>
        <v>1</v>
      </c>
      <c r="V9" t="s">
        <v>1113</v>
      </c>
      <c r="W9">
        <v>-9999</v>
      </c>
    </row>
    <row r="10" spans="1:23">
      <c r="A10">
        <v>2018</v>
      </c>
      <c r="B10">
        <v>1</v>
      </c>
      <c r="C10">
        <v>9</v>
      </c>
      <c r="D10">
        <v>9</v>
      </c>
      <c r="E10" t="s">
        <v>39</v>
      </c>
      <c r="F10" t="s">
        <v>271</v>
      </c>
      <c r="G10" t="s">
        <v>237</v>
      </c>
      <c r="T10" t="s">
        <v>34</v>
      </c>
      <c r="U10">
        <f t="shared" si="0"/>
        <v>0</v>
      </c>
      <c r="V10" t="s">
        <v>1116</v>
      </c>
      <c r="W10">
        <v>-9999</v>
      </c>
    </row>
    <row r="11" spans="1:23">
      <c r="A11">
        <v>2018</v>
      </c>
      <c r="B11">
        <v>1</v>
      </c>
      <c r="C11">
        <v>10</v>
      </c>
      <c r="D11">
        <v>10</v>
      </c>
      <c r="E11" t="s">
        <v>50</v>
      </c>
      <c r="F11" t="s">
        <v>272</v>
      </c>
      <c r="G11" t="s">
        <v>2</v>
      </c>
      <c r="H11">
        <v>-0.2</v>
      </c>
      <c r="I11">
        <v>5</v>
      </c>
      <c r="J11">
        <v>9</v>
      </c>
      <c r="K11">
        <v>0</v>
      </c>
      <c r="L11">
        <v>0.111</v>
      </c>
      <c r="M11">
        <v>0.222</v>
      </c>
      <c r="T11" t="s">
        <v>34</v>
      </c>
      <c r="U11">
        <f t="shared" si="0"/>
        <v>0</v>
      </c>
      <c r="V11" t="str">
        <f t="shared" si="1"/>
        <v>MLB</v>
      </c>
      <c r="W11" t="s">
        <v>1724</v>
      </c>
    </row>
    <row r="12" spans="1:23">
      <c r="A12">
        <v>2018</v>
      </c>
      <c r="B12">
        <v>1</v>
      </c>
      <c r="C12">
        <v>11</v>
      </c>
      <c r="D12">
        <v>11</v>
      </c>
      <c r="E12" t="s">
        <v>77</v>
      </c>
      <c r="F12" t="s">
        <v>273</v>
      </c>
      <c r="G12" t="s">
        <v>8</v>
      </c>
      <c r="H12">
        <v>2.5</v>
      </c>
      <c r="N12">
        <v>43</v>
      </c>
      <c r="O12">
        <v>20</v>
      </c>
      <c r="P12">
        <v>8</v>
      </c>
      <c r="Q12">
        <v>4.1100000000000003</v>
      </c>
      <c r="R12">
        <v>1.29</v>
      </c>
      <c r="S12">
        <v>0</v>
      </c>
      <c r="T12" t="s">
        <v>52</v>
      </c>
      <c r="U12">
        <f t="shared" si="0"/>
        <v>1</v>
      </c>
      <c r="V12" t="str">
        <f t="shared" si="1"/>
        <v>MLB</v>
      </c>
      <c r="W12" t="s">
        <v>1725</v>
      </c>
    </row>
    <row r="13" spans="1:23">
      <c r="A13">
        <v>2018</v>
      </c>
      <c r="B13">
        <v>1</v>
      </c>
      <c r="C13">
        <v>12</v>
      </c>
      <c r="D13">
        <v>12</v>
      </c>
      <c r="E13" t="s">
        <v>73</v>
      </c>
      <c r="F13" t="s">
        <v>274</v>
      </c>
      <c r="G13" t="s">
        <v>5</v>
      </c>
      <c r="H13">
        <v>-0.1</v>
      </c>
      <c r="I13">
        <v>17</v>
      </c>
      <c r="J13">
        <v>61</v>
      </c>
      <c r="K13">
        <v>1</v>
      </c>
      <c r="L13">
        <v>0.26200000000000001</v>
      </c>
      <c r="M13">
        <v>0.61899999999999999</v>
      </c>
      <c r="T13" t="s">
        <v>52</v>
      </c>
      <c r="U13">
        <f t="shared" si="0"/>
        <v>1</v>
      </c>
      <c r="V13" t="str">
        <f t="shared" si="1"/>
        <v>MLB</v>
      </c>
      <c r="W13" t="s">
        <v>1726</v>
      </c>
    </row>
    <row r="14" spans="1:23">
      <c r="A14">
        <v>2018</v>
      </c>
      <c r="B14">
        <v>1</v>
      </c>
      <c r="C14">
        <v>13</v>
      </c>
      <c r="D14">
        <v>13</v>
      </c>
      <c r="E14" t="s">
        <v>65</v>
      </c>
      <c r="F14" t="s">
        <v>275</v>
      </c>
      <c r="G14" t="s">
        <v>2</v>
      </c>
      <c r="T14" t="s">
        <v>52</v>
      </c>
      <c r="U14">
        <f t="shared" si="0"/>
        <v>1</v>
      </c>
      <c r="V14" t="s">
        <v>13</v>
      </c>
      <c r="W14">
        <v>-9999</v>
      </c>
    </row>
    <row r="15" spans="1:23">
      <c r="A15">
        <v>2018</v>
      </c>
      <c r="B15">
        <v>1</v>
      </c>
      <c r="C15">
        <v>14</v>
      </c>
      <c r="D15">
        <v>14</v>
      </c>
      <c r="E15" t="s">
        <v>63</v>
      </c>
      <c r="F15" t="s">
        <v>276</v>
      </c>
      <c r="G15" t="s">
        <v>8</v>
      </c>
      <c r="H15">
        <v>12.5</v>
      </c>
      <c r="N15">
        <v>155</v>
      </c>
      <c r="O15">
        <v>49</v>
      </c>
      <c r="P15">
        <v>39</v>
      </c>
      <c r="Q15">
        <v>3.59</v>
      </c>
      <c r="R15">
        <v>1.06</v>
      </c>
      <c r="S15">
        <v>0</v>
      </c>
      <c r="T15" t="s">
        <v>34</v>
      </c>
      <c r="U15">
        <f t="shared" si="0"/>
        <v>0</v>
      </c>
      <c r="V15" t="str">
        <f t="shared" si="1"/>
        <v>MLB</v>
      </c>
      <c r="W15" t="s">
        <v>1727</v>
      </c>
    </row>
    <row r="16" spans="1:23">
      <c r="A16">
        <v>2018</v>
      </c>
      <c r="B16">
        <v>1</v>
      </c>
      <c r="C16">
        <v>15</v>
      </c>
      <c r="D16">
        <v>15</v>
      </c>
      <c r="E16" t="s">
        <v>93</v>
      </c>
      <c r="F16" t="s">
        <v>277</v>
      </c>
      <c r="G16" t="s">
        <v>8</v>
      </c>
      <c r="H16">
        <v>0.5</v>
      </c>
      <c r="N16">
        <v>65</v>
      </c>
      <c r="O16">
        <v>2</v>
      </c>
      <c r="P16">
        <v>3</v>
      </c>
      <c r="Q16">
        <v>3.67</v>
      </c>
      <c r="R16">
        <v>1.1399999999999999</v>
      </c>
      <c r="S16">
        <v>1</v>
      </c>
      <c r="T16" t="s">
        <v>52</v>
      </c>
      <c r="U16">
        <f t="shared" si="0"/>
        <v>1</v>
      </c>
      <c r="V16" t="str">
        <f t="shared" si="1"/>
        <v>MLB</v>
      </c>
      <c r="W16" t="s">
        <v>1728</v>
      </c>
    </row>
    <row r="17" spans="1:23">
      <c r="A17">
        <v>2018</v>
      </c>
      <c r="B17">
        <v>1</v>
      </c>
      <c r="C17">
        <v>16</v>
      </c>
      <c r="D17">
        <v>16</v>
      </c>
      <c r="E17" t="s">
        <v>69</v>
      </c>
      <c r="F17" t="s">
        <v>278</v>
      </c>
      <c r="G17" t="s">
        <v>9</v>
      </c>
      <c r="H17">
        <v>0.6</v>
      </c>
      <c r="N17">
        <v>129</v>
      </c>
      <c r="O17">
        <v>18</v>
      </c>
      <c r="P17">
        <v>26</v>
      </c>
      <c r="Q17">
        <v>4.6100000000000003</v>
      </c>
      <c r="R17">
        <v>1.39</v>
      </c>
      <c r="S17">
        <v>0</v>
      </c>
      <c r="T17" t="s">
        <v>52</v>
      </c>
      <c r="U17">
        <f t="shared" si="0"/>
        <v>1</v>
      </c>
      <c r="V17" t="str">
        <f t="shared" si="1"/>
        <v>MLB</v>
      </c>
      <c r="W17" t="s">
        <v>1729</v>
      </c>
    </row>
    <row r="18" spans="1:23">
      <c r="A18">
        <v>2018</v>
      </c>
      <c r="B18">
        <v>1</v>
      </c>
      <c r="C18">
        <v>17</v>
      </c>
      <c r="D18">
        <v>17</v>
      </c>
      <c r="E18" t="s">
        <v>48</v>
      </c>
      <c r="F18" t="s">
        <v>279</v>
      </c>
      <c r="G18" t="s">
        <v>2</v>
      </c>
      <c r="H18">
        <v>-1</v>
      </c>
      <c r="I18">
        <v>38</v>
      </c>
      <c r="J18">
        <v>79</v>
      </c>
      <c r="K18">
        <v>1</v>
      </c>
      <c r="L18">
        <v>0.16500000000000001</v>
      </c>
      <c r="M18">
        <v>0.39500000000000002</v>
      </c>
      <c r="T18" t="s">
        <v>52</v>
      </c>
      <c r="U18">
        <f t="shared" si="0"/>
        <v>1</v>
      </c>
      <c r="V18" t="str">
        <f t="shared" si="1"/>
        <v>MLB</v>
      </c>
      <c r="W18" t="s">
        <v>1730</v>
      </c>
    </row>
    <row r="19" spans="1:23">
      <c r="A19">
        <v>2018</v>
      </c>
      <c r="B19">
        <v>1</v>
      </c>
      <c r="C19">
        <v>18</v>
      </c>
      <c r="D19">
        <v>18</v>
      </c>
      <c r="E19" t="s">
        <v>43</v>
      </c>
      <c r="F19" t="s">
        <v>280</v>
      </c>
      <c r="G19" t="s">
        <v>8</v>
      </c>
      <c r="H19">
        <v>11.8</v>
      </c>
      <c r="N19">
        <v>168</v>
      </c>
      <c r="O19">
        <v>52</v>
      </c>
      <c r="P19">
        <v>59</v>
      </c>
      <c r="Q19">
        <v>4.3</v>
      </c>
      <c r="R19">
        <v>1.33</v>
      </c>
      <c r="S19">
        <v>0</v>
      </c>
      <c r="T19" t="s">
        <v>34</v>
      </c>
      <c r="U19">
        <f t="shared" si="0"/>
        <v>0</v>
      </c>
      <c r="V19" t="str">
        <f t="shared" si="1"/>
        <v>MLB</v>
      </c>
      <c r="W19" t="s">
        <v>1731</v>
      </c>
    </row>
    <row r="20" spans="1:23">
      <c r="A20">
        <v>2018</v>
      </c>
      <c r="B20">
        <v>1</v>
      </c>
      <c r="C20">
        <v>19</v>
      </c>
      <c r="D20">
        <v>19</v>
      </c>
      <c r="E20" t="s">
        <v>46</v>
      </c>
      <c r="F20" t="s">
        <v>281</v>
      </c>
      <c r="G20" t="s">
        <v>11</v>
      </c>
      <c r="H20">
        <v>3.9</v>
      </c>
      <c r="I20">
        <v>467</v>
      </c>
      <c r="J20">
        <v>1542</v>
      </c>
      <c r="K20">
        <v>79</v>
      </c>
      <c r="L20">
        <v>0.219</v>
      </c>
      <c r="M20">
        <v>0.71399999999999997</v>
      </c>
      <c r="T20" t="s">
        <v>52</v>
      </c>
      <c r="U20">
        <f t="shared" si="0"/>
        <v>1</v>
      </c>
      <c r="V20" t="str">
        <f t="shared" si="1"/>
        <v>MLB</v>
      </c>
      <c r="W20" t="s">
        <v>1732</v>
      </c>
    </row>
    <row r="21" spans="1:23">
      <c r="A21">
        <v>2018</v>
      </c>
      <c r="B21">
        <v>1</v>
      </c>
      <c r="C21">
        <v>20</v>
      </c>
      <c r="D21">
        <v>20</v>
      </c>
      <c r="E21" t="s">
        <v>75</v>
      </c>
      <c r="F21" t="s">
        <v>282</v>
      </c>
      <c r="G21" t="s">
        <v>4</v>
      </c>
      <c r="H21">
        <v>4.0999999999999996</v>
      </c>
      <c r="I21">
        <v>475</v>
      </c>
      <c r="J21">
        <v>1558</v>
      </c>
      <c r="K21">
        <v>53</v>
      </c>
      <c r="L21">
        <v>0.24299999999999999</v>
      </c>
      <c r="M21">
        <v>0.73</v>
      </c>
      <c r="T21" t="s">
        <v>34</v>
      </c>
      <c r="U21">
        <f t="shared" si="0"/>
        <v>0</v>
      </c>
      <c r="V21" t="str">
        <f t="shared" si="1"/>
        <v>MLB</v>
      </c>
      <c r="W21" t="s">
        <v>1733</v>
      </c>
    </row>
    <row r="22" spans="1:23">
      <c r="A22">
        <v>2018</v>
      </c>
      <c r="B22">
        <v>1</v>
      </c>
      <c r="C22">
        <v>21</v>
      </c>
      <c r="D22">
        <v>21</v>
      </c>
      <c r="E22" t="s">
        <v>67</v>
      </c>
      <c r="F22" t="s">
        <v>283</v>
      </c>
      <c r="G22" t="s">
        <v>5</v>
      </c>
      <c r="H22">
        <v>13.9</v>
      </c>
      <c r="I22">
        <v>485</v>
      </c>
      <c r="J22">
        <v>1686</v>
      </c>
      <c r="K22">
        <v>37</v>
      </c>
      <c r="L22">
        <v>0.26</v>
      </c>
      <c r="M22">
        <v>0.71199999999999997</v>
      </c>
      <c r="T22" t="s">
        <v>52</v>
      </c>
      <c r="U22">
        <f t="shared" si="0"/>
        <v>1</v>
      </c>
      <c r="V22" t="str">
        <f t="shared" si="1"/>
        <v>MLB</v>
      </c>
      <c r="W22" t="s">
        <v>1734</v>
      </c>
    </row>
    <row r="23" spans="1:23">
      <c r="A23">
        <v>2018</v>
      </c>
      <c r="B23">
        <v>1</v>
      </c>
      <c r="C23">
        <v>22</v>
      </c>
      <c r="D23">
        <v>22</v>
      </c>
      <c r="E23" t="s">
        <v>37</v>
      </c>
      <c r="F23" t="s">
        <v>284</v>
      </c>
      <c r="G23" t="s">
        <v>9</v>
      </c>
      <c r="H23">
        <v>-0.2</v>
      </c>
      <c r="N23">
        <v>39</v>
      </c>
      <c r="O23">
        <v>4</v>
      </c>
      <c r="P23">
        <v>0</v>
      </c>
      <c r="Q23">
        <v>6.28</v>
      </c>
      <c r="R23">
        <v>1.68</v>
      </c>
      <c r="S23">
        <v>0</v>
      </c>
      <c r="T23" t="s">
        <v>34</v>
      </c>
      <c r="U23">
        <f t="shared" si="0"/>
        <v>0</v>
      </c>
      <c r="V23" t="str">
        <f t="shared" si="1"/>
        <v>MLB</v>
      </c>
      <c r="W23" t="s">
        <v>1735</v>
      </c>
    </row>
    <row r="24" spans="1:23">
      <c r="A24">
        <v>2018</v>
      </c>
      <c r="B24">
        <v>1</v>
      </c>
      <c r="C24">
        <v>23</v>
      </c>
      <c r="D24">
        <v>23</v>
      </c>
      <c r="E24" t="s">
        <v>85</v>
      </c>
      <c r="F24" t="s">
        <v>285</v>
      </c>
      <c r="G24" t="s">
        <v>6</v>
      </c>
      <c r="H24">
        <v>0</v>
      </c>
      <c r="I24">
        <v>34</v>
      </c>
      <c r="J24">
        <v>62</v>
      </c>
      <c r="K24">
        <v>0</v>
      </c>
      <c r="L24">
        <v>0.19400000000000001</v>
      </c>
      <c r="M24">
        <v>0.501</v>
      </c>
      <c r="T24" t="s">
        <v>52</v>
      </c>
      <c r="U24">
        <f t="shared" si="0"/>
        <v>1</v>
      </c>
      <c r="V24" t="str">
        <f t="shared" si="1"/>
        <v>MLB</v>
      </c>
      <c r="W24" t="s">
        <v>1736</v>
      </c>
    </row>
    <row r="25" spans="1:23">
      <c r="A25">
        <v>2018</v>
      </c>
      <c r="B25">
        <v>1</v>
      </c>
      <c r="C25">
        <v>24</v>
      </c>
      <c r="D25">
        <v>24</v>
      </c>
      <c r="E25" t="s">
        <v>61</v>
      </c>
      <c r="F25" t="s">
        <v>286</v>
      </c>
      <c r="G25" t="s">
        <v>5</v>
      </c>
      <c r="H25">
        <v>23.7</v>
      </c>
      <c r="I25">
        <v>746</v>
      </c>
      <c r="J25">
        <v>2785</v>
      </c>
      <c r="K25">
        <v>40</v>
      </c>
      <c r="L25">
        <v>0.28199999999999997</v>
      </c>
      <c r="M25">
        <v>0.72599999999999998</v>
      </c>
      <c r="T25" t="s">
        <v>34</v>
      </c>
      <c r="U25">
        <f t="shared" si="0"/>
        <v>0</v>
      </c>
      <c r="V25" t="str">
        <f t="shared" si="1"/>
        <v>MLB</v>
      </c>
      <c r="W25" t="s">
        <v>1737</v>
      </c>
    </row>
    <row r="26" spans="1:23">
      <c r="A26">
        <v>2018</v>
      </c>
      <c r="B26">
        <v>1</v>
      </c>
      <c r="C26">
        <v>25</v>
      </c>
      <c r="D26">
        <v>25</v>
      </c>
      <c r="E26" t="s">
        <v>91</v>
      </c>
      <c r="F26" t="s">
        <v>200</v>
      </c>
      <c r="G26" t="s">
        <v>0</v>
      </c>
      <c r="H26">
        <v>3.2</v>
      </c>
      <c r="I26">
        <v>279</v>
      </c>
      <c r="J26">
        <v>1026</v>
      </c>
      <c r="K26">
        <v>34</v>
      </c>
      <c r="L26">
        <v>0.24299999999999999</v>
      </c>
      <c r="M26">
        <v>0.71799999999999997</v>
      </c>
      <c r="T26" t="s">
        <v>52</v>
      </c>
      <c r="U26">
        <f t="shared" si="0"/>
        <v>1</v>
      </c>
      <c r="V26" t="str">
        <f t="shared" si="1"/>
        <v>MLB</v>
      </c>
      <c r="W26" t="s">
        <v>1738</v>
      </c>
    </row>
    <row r="27" spans="1:23">
      <c r="A27">
        <v>2018</v>
      </c>
      <c r="B27">
        <v>1</v>
      </c>
      <c r="C27">
        <v>26</v>
      </c>
      <c r="D27">
        <v>26</v>
      </c>
      <c r="E27" t="s">
        <v>57</v>
      </c>
      <c r="F27" t="s">
        <v>287</v>
      </c>
      <c r="G27" t="s">
        <v>11</v>
      </c>
      <c r="H27">
        <v>2.2000000000000002</v>
      </c>
      <c r="I27">
        <v>251</v>
      </c>
      <c r="J27">
        <v>816</v>
      </c>
      <c r="K27">
        <v>45</v>
      </c>
      <c r="L27">
        <v>0.24099999999999999</v>
      </c>
      <c r="M27">
        <v>0.8</v>
      </c>
      <c r="T27" t="s">
        <v>52</v>
      </c>
      <c r="U27">
        <f t="shared" si="0"/>
        <v>1</v>
      </c>
      <c r="V27" t="str">
        <f t="shared" si="1"/>
        <v>MLB</v>
      </c>
      <c r="W27" t="s">
        <v>1739</v>
      </c>
    </row>
    <row r="28" spans="1:23">
      <c r="A28">
        <v>2018</v>
      </c>
      <c r="B28">
        <v>1</v>
      </c>
      <c r="C28">
        <v>27</v>
      </c>
      <c r="D28">
        <v>27</v>
      </c>
      <c r="E28" t="s">
        <v>53</v>
      </c>
      <c r="F28" t="s">
        <v>288</v>
      </c>
      <c r="G28" t="s">
        <v>8</v>
      </c>
      <c r="T28" t="s">
        <v>52</v>
      </c>
      <c r="U28">
        <f t="shared" si="0"/>
        <v>1</v>
      </c>
      <c r="V28" t="s">
        <v>14</v>
      </c>
      <c r="W28">
        <v>-9999</v>
      </c>
    </row>
    <row r="29" spans="1:23">
      <c r="A29">
        <v>2018</v>
      </c>
      <c r="B29">
        <v>1</v>
      </c>
      <c r="C29">
        <v>28</v>
      </c>
      <c r="D29">
        <v>28</v>
      </c>
      <c r="E29" t="s">
        <v>89</v>
      </c>
      <c r="F29" t="s">
        <v>289</v>
      </c>
      <c r="G29" t="s">
        <v>2</v>
      </c>
      <c r="H29">
        <v>-0.8</v>
      </c>
      <c r="I29">
        <v>43</v>
      </c>
      <c r="J29">
        <v>120</v>
      </c>
      <c r="K29">
        <v>2</v>
      </c>
      <c r="L29">
        <v>0.20799999999999999</v>
      </c>
      <c r="M29">
        <v>0.58599999999999997</v>
      </c>
      <c r="T29" t="s">
        <v>34</v>
      </c>
      <c r="U29">
        <f t="shared" si="0"/>
        <v>0</v>
      </c>
      <c r="V29" t="str">
        <f t="shared" si="1"/>
        <v>MLB</v>
      </c>
      <c r="W29" t="s">
        <v>1740</v>
      </c>
    </row>
    <row r="30" spans="1:23">
      <c r="A30">
        <v>2018</v>
      </c>
      <c r="B30">
        <v>1</v>
      </c>
      <c r="C30">
        <v>29</v>
      </c>
      <c r="D30">
        <v>29</v>
      </c>
      <c r="E30" t="s">
        <v>206</v>
      </c>
      <c r="F30" t="s">
        <v>290</v>
      </c>
      <c r="G30" t="s">
        <v>6</v>
      </c>
      <c r="H30">
        <v>3</v>
      </c>
      <c r="I30">
        <v>346</v>
      </c>
      <c r="J30">
        <v>1003</v>
      </c>
      <c r="K30">
        <v>40</v>
      </c>
      <c r="L30">
        <v>0.19900000000000001</v>
      </c>
      <c r="M30">
        <v>0.65100000000000002</v>
      </c>
      <c r="T30" t="s">
        <v>52</v>
      </c>
      <c r="U30">
        <f t="shared" si="0"/>
        <v>1</v>
      </c>
      <c r="V30" t="str">
        <f t="shared" si="1"/>
        <v>MLB</v>
      </c>
      <c r="W30" t="s">
        <v>1741</v>
      </c>
    </row>
    <row r="31" spans="1:23">
      <c r="A31">
        <v>2018</v>
      </c>
      <c r="B31">
        <v>1</v>
      </c>
      <c r="C31">
        <v>30</v>
      </c>
      <c r="D31">
        <v>30</v>
      </c>
      <c r="E31" t="s">
        <v>79</v>
      </c>
      <c r="F31" t="s">
        <v>291</v>
      </c>
      <c r="G31" t="s">
        <v>8</v>
      </c>
      <c r="H31">
        <v>2.4</v>
      </c>
      <c r="N31">
        <v>41</v>
      </c>
      <c r="O31">
        <v>7</v>
      </c>
      <c r="P31">
        <v>9</v>
      </c>
      <c r="Q31">
        <v>4.4000000000000004</v>
      </c>
      <c r="R31">
        <v>1.31</v>
      </c>
      <c r="S31">
        <v>0</v>
      </c>
      <c r="T31" t="s">
        <v>52</v>
      </c>
      <c r="U31">
        <f t="shared" si="0"/>
        <v>1</v>
      </c>
      <c r="V31" t="str">
        <f t="shared" si="1"/>
        <v>MLB</v>
      </c>
      <c r="W31" t="s">
        <v>1742</v>
      </c>
    </row>
    <row r="32" spans="1:23">
      <c r="A32">
        <v>2018</v>
      </c>
      <c r="B32">
        <v>1</v>
      </c>
      <c r="C32">
        <v>31</v>
      </c>
      <c r="D32">
        <v>31</v>
      </c>
      <c r="E32" t="s">
        <v>69</v>
      </c>
      <c r="F32" t="s">
        <v>292</v>
      </c>
      <c r="G32" t="s">
        <v>9</v>
      </c>
      <c r="H32">
        <v>9.9</v>
      </c>
      <c r="N32">
        <v>82</v>
      </c>
      <c r="O32">
        <v>37</v>
      </c>
      <c r="P32">
        <v>18</v>
      </c>
      <c r="Q32">
        <v>2.96</v>
      </c>
      <c r="R32">
        <v>1.0900000000000001</v>
      </c>
      <c r="S32">
        <v>0</v>
      </c>
      <c r="T32" t="s">
        <v>34</v>
      </c>
      <c r="U32">
        <f t="shared" si="0"/>
        <v>0</v>
      </c>
      <c r="V32" t="str">
        <f t="shared" si="1"/>
        <v>MLB</v>
      </c>
      <c r="W32" t="s">
        <v>1743</v>
      </c>
    </row>
    <row r="33" spans="1:23">
      <c r="A33">
        <v>2018</v>
      </c>
      <c r="B33">
        <v>1</v>
      </c>
      <c r="C33">
        <v>32</v>
      </c>
      <c r="D33">
        <v>32</v>
      </c>
      <c r="E33" t="s">
        <v>69</v>
      </c>
      <c r="F33" t="s">
        <v>293</v>
      </c>
      <c r="G33" t="s">
        <v>237</v>
      </c>
      <c r="T33" t="s">
        <v>52</v>
      </c>
      <c r="U33">
        <f t="shared" si="0"/>
        <v>1</v>
      </c>
      <c r="V33" t="s">
        <v>12</v>
      </c>
      <c r="W33">
        <v>-9999</v>
      </c>
    </row>
    <row r="34" spans="1:23">
      <c r="A34">
        <v>2018</v>
      </c>
      <c r="B34">
        <v>1</v>
      </c>
      <c r="C34">
        <v>33</v>
      </c>
      <c r="D34">
        <v>33</v>
      </c>
      <c r="E34" t="s">
        <v>43</v>
      </c>
      <c r="F34" t="s">
        <v>294</v>
      </c>
      <c r="G34" t="s">
        <v>8</v>
      </c>
      <c r="H34">
        <v>-2.5</v>
      </c>
      <c r="N34">
        <v>54</v>
      </c>
      <c r="O34">
        <v>4</v>
      </c>
      <c r="P34">
        <v>6</v>
      </c>
      <c r="Q34">
        <v>8.2100000000000009</v>
      </c>
      <c r="R34">
        <v>1.93</v>
      </c>
      <c r="S34">
        <v>0</v>
      </c>
      <c r="T34" t="s">
        <v>34</v>
      </c>
      <c r="U34">
        <f t="shared" si="0"/>
        <v>0</v>
      </c>
      <c r="V34" t="str">
        <f t="shared" si="1"/>
        <v>MLB</v>
      </c>
      <c r="W34" t="s">
        <v>1744</v>
      </c>
    </row>
    <row r="35" spans="1:23">
      <c r="A35">
        <v>2018</v>
      </c>
      <c r="B35">
        <v>1</v>
      </c>
      <c r="C35">
        <v>34</v>
      </c>
      <c r="D35">
        <v>34</v>
      </c>
      <c r="E35" t="s">
        <v>43</v>
      </c>
      <c r="F35" t="s">
        <v>295</v>
      </c>
      <c r="G35" t="s">
        <v>9</v>
      </c>
      <c r="H35">
        <v>3.3</v>
      </c>
      <c r="N35">
        <v>141</v>
      </c>
      <c r="O35">
        <v>20</v>
      </c>
      <c r="P35">
        <v>25</v>
      </c>
      <c r="Q35">
        <v>4.45</v>
      </c>
      <c r="R35">
        <v>1.4</v>
      </c>
      <c r="S35">
        <v>3</v>
      </c>
      <c r="T35" t="s">
        <v>34</v>
      </c>
      <c r="U35">
        <f t="shared" si="0"/>
        <v>0</v>
      </c>
      <c r="V35" t="str">
        <f t="shared" si="1"/>
        <v>MLB</v>
      </c>
      <c r="W35" t="s">
        <v>1745</v>
      </c>
    </row>
    <row r="36" spans="1:23">
      <c r="A36">
        <v>2018</v>
      </c>
      <c r="B36">
        <v>1</v>
      </c>
      <c r="C36">
        <v>35</v>
      </c>
      <c r="D36">
        <v>35</v>
      </c>
      <c r="E36" t="s">
        <v>206</v>
      </c>
      <c r="F36" t="s">
        <v>296</v>
      </c>
      <c r="G36" t="s">
        <v>8</v>
      </c>
      <c r="T36" t="s">
        <v>52</v>
      </c>
      <c r="U36">
        <f t="shared" si="0"/>
        <v>1</v>
      </c>
      <c r="V36" t="s">
        <v>13</v>
      </c>
      <c r="W36">
        <v>-9999</v>
      </c>
    </row>
    <row r="37" spans="1:23">
      <c r="A37">
        <v>2018</v>
      </c>
      <c r="B37">
        <v>1</v>
      </c>
      <c r="C37">
        <v>36</v>
      </c>
      <c r="D37">
        <v>36</v>
      </c>
      <c r="E37" t="s">
        <v>50</v>
      </c>
      <c r="F37" t="s">
        <v>202</v>
      </c>
      <c r="G37" t="s">
        <v>8</v>
      </c>
      <c r="H37">
        <v>-0.1</v>
      </c>
      <c r="N37">
        <v>6</v>
      </c>
      <c r="O37">
        <v>1</v>
      </c>
      <c r="P37">
        <v>3</v>
      </c>
      <c r="Q37">
        <v>6.4</v>
      </c>
      <c r="R37">
        <v>1.52</v>
      </c>
      <c r="S37">
        <v>0</v>
      </c>
      <c r="T37" t="s">
        <v>52</v>
      </c>
      <c r="U37">
        <f t="shared" si="0"/>
        <v>1</v>
      </c>
      <c r="V37" t="str">
        <f t="shared" si="1"/>
        <v>MLB</v>
      </c>
      <c r="W37" t="s">
        <v>1746</v>
      </c>
    </row>
    <row r="38" spans="1:23">
      <c r="A38">
        <v>2018</v>
      </c>
      <c r="B38">
        <v>1</v>
      </c>
      <c r="C38">
        <v>37</v>
      </c>
      <c r="D38">
        <v>37</v>
      </c>
      <c r="E38" t="s">
        <v>77</v>
      </c>
      <c r="F38" t="s">
        <v>297</v>
      </c>
      <c r="G38" t="s">
        <v>5</v>
      </c>
      <c r="T38" t="s">
        <v>34</v>
      </c>
      <c r="U38">
        <f t="shared" si="0"/>
        <v>0</v>
      </c>
      <c r="V38" t="s">
        <v>12</v>
      </c>
      <c r="W38">
        <v>-9999</v>
      </c>
    </row>
    <row r="39" spans="1:23">
      <c r="A39">
        <v>2018</v>
      </c>
      <c r="B39">
        <v>1</v>
      </c>
      <c r="C39">
        <v>38</v>
      </c>
      <c r="D39">
        <v>38</v>
      </c>
      <c r="E39" t="s">
        <v>83</v>
      </c>
      <c r="F39" t="s">
        <v>298</v>
      </c>
      <c r="G39" t="s">
        <v>5</v>
      </c>
      <c r="H39">
        <v>7.5</v>
      </c>
      <c r="I39">
        <v>282</v>
      </c>
      <c r="J39">
        <v>1061</v>
      </c>
      <c r="K39">
        <v>8</v>
      </c>
      <c r="L39">
        <v>0.30099999999999999</v>
      </c>
      <c r="M39">
        <v>0.754</v>
      </c>
      <c r="T39" t="s">
        <v>52</v>
      </c>
      <c r="U39">
        <f t="shared" si="0"/>
        <v>1</v>
      </c>
      <c r="V39" t="str">
        <f t="shared" si="1"/>
        <v>MLB</v>
      </c>
      <c r="W39" t="s">
        <v>1747</v>
      </c>
    </row>
    <row r="40" spans="1:23">
      <c r="A40">
        <v>2018</v>
      </c>
      <c r="B40">
        <v>1</v>
      </c>
      <c r="C40">
        <v>39</v>
      </c>
      <c r="D40">
        <v>39</v>
      </c>
      <c r="E40" t="s">
        <v>91</v>
      </c>
      <c r="F40" t="s">
        <v>299</v>
      </c>
      <c r="G40" t="s">
        <v>2</v>
      </c>
      <c r="H40">
        <v>4.5999999999999996</v>
      </c>
      <c r="I40">
        <v>464</v>
      </c>
      <c r="J40">
        <v>1384</v>
      </c>
      <c r="K40">
        <v>26</v>
      </c>
      <c r="L40">
        <v>0.26200000000000001</v>
      </c>
      <c r="M40">
        <v>0.71399999999999997</v>
      </c>
      <c r="T40" t="s">
        <v>34</v>
      </c>
      <c r="U40">
        <f t="shared" si="0"/>
        <v>0</v>
      </c>
      <c r="V40" t="str">
        <f t="shared" si="1"/>
        <v>MLB</v>
      </c>
      <c r="W40" t="s">
        <v>1748</v>
      </c>
    </row>
    <row r="41" spans="1:23">
      <c r="A41">
        <v>2018</v>
      </c>
      <c r="B41">
        <v>1</v>
      </c>
      <c r="C41">
        <v>40</v>
      </c>
      <c r="D41">
        <v>40</v>
      </c>
      <c r="E41" t="s">
        <v>43</v>
      </c>
      <c r="F41" t="s">
        <v>300</v>
      </c>
      <c r="G41" t="s">
        <v>9</v>
      </c>
      <c r="H41">
        <v>6.5</v>
      </c>
      <c r="N41">
        <v>125</v>
      </c>
      <c r="O41">
        <v>22</v>
      </c>
      <c r="P41">
        <v>37</v>
      </c>
      <c r="Q41">
        <v>4.08</v>
      </c>
      <c r="R41">
        <v>1.38</v>
      </c>
      <c r="S41">
        <v>1</v>
      </c>
      <c r="T41" t="s">
        <v>34</v>
      </c>
      <c r="U41">
        <f t="shared" si="0"/>
        <v>0</v>
      </c>
      <c r="V41" t="str">
        <f t="shared" si="1"/>
        <v>MLB</v>
      </c>
      <c r="W41" t="s">
        <v>1749</v>
      </c>
    </row>
    <row r="42" spans="1:23">
      <c r="A42">
        <v>2018</v>
      </c>
      <c r="B42">
        <v>1</v>
      </c>
      <c r="C42">
        <v>41</v>
      </c>
      <c r="D42">
        <v>41</v>
      </c>
      <c r="E42" t="s">
        <v>206</v>
      </c>
      <c r="F42" t="s">
        <v>301</v>
      </c>
      <c r="G42" t="s">
        <v>8</v>
      </c>
      <c r="T42" t="s">
        <v>52</v>
      </c>
      <c r="U42">
        <f t="shared" si="0"/>
        <v>1</v>
      </c>
      <c r="V42" t="s">
        <v>12</v>
      </c>
      <c r="W42">
        <v>-9999</v>
      </c>
    </row>
    <row r="43" spans="1:23">
      <c r="A43">
        <v>2018</v>
      </c>
      <c r="B43">
        <v>1</v>
      </c>
      <c r="C43">
        <v>42</v>
      </c>
      <c r="D43">
        <v>42</v>
      </c>
      <c r="E43" t="s">
        <v>37</v>
      </c>
      <c r="F43" t="s">
        <v>302</v>
      </c>
      <c r="G43" t="s">
        <v>3</v>
      </c>
      <c r="T43" t="s">
        <v>52</v>
      </c>
      <c r="U43">
        <f t="shared" si="0"/>
        <v>1</v>
      </c>
      <c r="V43" t="s">
        <v>12</v>
      </c>
      <c r="W43">
        <v>-9999</v>
      </c>
    </row>
    <row r="44" spans="1:23">
      <c r="A44">
        <v>2018</v>
      </c>
      <c r="B44">
        <v>1</v>
      </c>
      <c r="C44">
        <v>43</v>
      </c>
      <c r="D44">
        <v>43</v>
      </c>
      <c r="E44" t="s">
        <v>46</v>
      </c>
      <c r="F44" t="s">
        <v>303</v>
      </c>
      <c r="G44" t="s">
        <v>8</v>
      </c>
      <c r="T44" t="s">
        <v>34</v>
      </c>
      <c r="U44">
        <f t="shared" si="0"/>
        <v>0</v>
      </c>
      <c r="V44" t="s">
        <v>13</v>
      </c>
      <c r="W44">
        <v>-9999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DD64-A788-407C-AED0-1845FEEB9AB6}">
  <dimension ref="A1:W42"/>
  <sheetViews>
    <sheetView workbookViewId="0">
      <selection activeCell="W1" sqref="W1"/>
    </sheetView>
  </sheetViews>
  <sheetFormatPr defaultRowHeight="14.5"/>
  <cols>
    <col min="1" max="1" width="4.81640625" bestFit="1" customWidth="1"/>
    <col min="2" max="2" width="3.90625" bestFit="1" customWidth="1"/>
    <col min="3" max="3" width="6" bestFit="1" customWidth="1"/>
    <col min="4" max="4" width="5.90625" bestFit="1" customWidth="1"/>
    <col min="5" max="5" width="13" bestFit="1" customWidth="1"/>
    <col min="6" max="6" width="23.08984375" bestFit="1" customWidth="1"/>
    <col min="7" max="7" width="3.81640625" bestFit="1" customWidth="1"/>
    <col min="8" max="8" width="4.81640625" bestFit="1" customWidth="1"/>
    <col min="9" max="9" width="3.81640625" bestFit="1" customWidth="1"/>
    <col min="10" max="10" width="4.81640625" bestFit="1" customWidth="1"/>
    <col min="11" max="11" width="3.81640625" bestFit="1" customWidth="1"/>
    <col min="12" max="13" width="5.81640625" bestFit="1" customWidth="1"/>
    <col min="14" max="14" width="3.81640625" bestFit="1" customWidth="1"/>
    <col min="15" max="16" width="2.81640625" bestFit="1" customWidth="1"/>
    <col min="17" max="17" width="4.81640625" bestFit="1" customWidth="1"/>
    <col min="18" max="18" width="5.26953125" bestFit="1" customWidth="1"/>
    <col min="19" max="19" width="2.90625" bestFit="1" customWidth="1"/>
    <col min="20" max="20" width="4.54296875" bestFit="1" customWidth="1"/>
    <col min="21" max="21" width="4" bestFit="1" customWidth="1"/>
  </cols>
  <sheetData>
    <row r="1" spans="1:23">
      <c r="A1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>
        <v>2019</v>
      </c>
      <c r="B2">
        <v>1</v>
      </c>
      <c r="C2">
        <v>1</v>
      </c>
      <c r="D2">
        <v>1</v>
      </c>
      <c r="E2" t="s">
        <v>77</v>
      </c>
      <c r="F2" t="s">
        <v>221</v>
      </c>
      <c r="G2" t="s">
        <v>6</v>
      </c>
      <c r="H2">
        <v>16.100000000000001</v>
      </c>
      <c r="I2">
        <v>533</v>
      </c>
      <c r="J2">
        <v>1982</v>
      </c>
      <c r="K2">
        <v>67</v>
      </c>
      <c r="L2">
        <v>0.25600000000000001</v>
      </c>
      <c r="M2">
        <v>0.76300000000000001</v>
      </c>
      <c r="T2" t="s">
        <v>34</v>
      </c>
      <c r="U2">
        <f>IF(ISNUMBER(SEARCH("HS",T2)),1,0)</f>
        <v>0</v>
      </c>
      <c r="V2" t="str">
        <f>IF(ISNUMBER(H2),"MLB","")</f>
        <v>MLB</v>
      </c>
      <c r="W2" t="s">
        <v>1750</v>
      </c>
    </row>
    <row r="3" spans="1:23">
      <c r="A3">
        <v>2019</v>
      </c>
      <c r="B3">
        <v>1</v>
      </c>
      <c r="C3">
        <v>2</v>
      </c>
      <c r="D3">
        <v>2</v>
      </c>
      <c r="E3" t="s">
        <v>43</v>
      </c>
      <c r="F3" t="s">
        <v>222</v>
      </c>
      <c r="G3" t="s">
        <v>5</v>
      </c>
      <c r="H3">
        <v>24.9</v>
      </c>
      <c r="I3">
        <v>669</v>
      </c>
      <c r="J3">
        <v>2661</v>
      </c>
      <c r="K3">
        <v>112</v>
      </c>
      <c r="L3">
        <v>0.29099999999999998</v>
      </c>
      <c r="M3">
        <v>0.84599999999999997</v>
      </c>
      <c r="T3" t="s">
        <v>52</v>
      </c>
      <c r="U3">
        <f t="shared" ref="U3:U42" si="0">IF(ISNUMBER(SEARCH("HS",T3)),1,0)</f>
        <v>1</v>
      </c>
      <c r="V3" t="str">
        <f t="shared" ref="V3:V42" si="1">IF(ISNUMBER(H3),"MLB","")</f>
        <v>MLB</v>
      </c>
      <c r="W3" t="s">
        <v>1751</v>
      </c>
    </row>
    <row r="4" spans="1:23">
      <c r="A4">
        <v>2019</v>
      </c>
      <c r="B4">
        <v>1</v>
      </c>
      <c r="C4">
        <v>3</v>
      </c>
      <c r="D4">
        <v>3</v>
      </c>
      <c r="E4" t="s">
        <v>41</v>
      </c>
      <c r="F4" t="s">
        <v>223</v>
      </c>
      <c r="G4" t="s">
        <v>3</v>
      </c>
      <c r="H4">
        <v>1</v>
      </c>
      <c r="I4">
        <v>681</v>
      </c>
      <c r="J4">
        <v>2490</v>
      </c>
      <c r="K4">
        <v>87</v>
      </c>
      <c r="L4">
        <v>0.253</v>
      </c>
      <c r="M4">
        <v>0.72499999999999998</v>
      </c>
      <c r="T4" t="s">
        <v>34</v>
      </c>
      <c r="U4">
        <f t="shared" si="0"/>
        <v>0</v>
      </c>
      <c r="V4" t="str">
        <f t="shared" si="1"/>
        <v>MLB</v>
      </c>
      <c r="W4" t="s">
        <v>1752</v>
      </c>
    </row>
    <row r="5" spans="1:23">
      <c r="A5">
        <v>2019</v>
      </c>
      <c r="B5">
        <v>1</v>
      </c>
      <c r="C5">
        <v>4</v>
      </c>
      <c r="D5">
        <v>4</v>
      </c>
      <c r="E5" t="s">
        <v>65</v>
      </c>
      <c r="F5" t="s">
        <v>224</v>
      </c>
      <c r="G5" t="s">
        <v>2</v>
      </c>
      <c r="H5">
        <v>1.8</v>
      </c>
      <c r="I5">
        <v>419</v>
      </c>
      <c r="J5">
        <v>1387</v>
      </c>
      <c r="K5">
        <v>53</v>
      </c>
      <c r="L5">
        <v>0.218</v>
      </c>
      <c r="M5">
        <v>0.71599999999999997</v>
      </c>
      <c r="T5" t="s">
        <v>34</v>
      </c>
      <c r="U5">
        <f t="shared" si="0"/>
        <v>0</v>
      </c>
      <c r="V5" t="str">
        <f t="shared" si="1"/>
        <v>MLB</v>
      </c>
      <c r="W5" t="s">
        <v>1753</v>
      </c>
    </row>
    <row r="6" spans="1:23">
      <c r="A6">
        <v>2019</v>
      </c>
      <c r="B6">
        <v>1</v>
      </c>
      <c r="C6">
        <v>5</v>
      </c>
      <c r="D6">
        <v>5</v>
      </c>
      <c r="E6" t="s">
        <v>55</v>
      </c>
      <c r="F6" t="s">
        <v>225</v>
      </c>
      <c r="G6" t="s">
        <v>2</v>
      </c>
      <c r="H6">
        <v>12.1</v>
      </c>
      <c r="I6">
        <v>529</v>
      </c>
      <c r="J6">
        <v>2020</v>
      </c>
      <c r="K6">
        <v>80</v>
      </c>
      <c r="L6">
        <v>0.26900000000000002</v>
      </c>
      <c r="M6">
        <v>0.79400000000000004</v>
      </c>
      <c r="T6" t="s">
        <v>52</v>
      </c>
      <c r="U6">
        <f t="shared" si="0"/>
        <v>1</v>
      </c>
      <c r="V6" t="str">
        <f t="shared" si="1"/>
        <v>MLB</v>
      </c>
      <c r="W6" t="s">
        <v>1754</v>
      </c>
    </row>
    <row r="7" spans="1:23">
      <c r="A7">
        <v>2019</v>
      </c>
      <c r="B7">
        <v>1</v>
      </c>
      <c r="C7">
        <v>6</v>
      </c>
      <c r="D7">
        <v>6</v>
      </c>
      <c r="E7" t="s">
        <v>83</v>
      </c>
      <c r="F7" t="s">
        <v>226</v>
      </c>
      <c r="G7" t="s">
        <v>5</v>
      </c>
      <c r="H7">
        <v>11.9</v>
      </c>
      <c r="I7">
        <v>565</v>
      </c>
      <c r="J7">
        <v>2120</v>
      </c>
      <c r="K7">
        <v>68</v>
      </c>
      <c r="L7">
        <v>0.252</v>
      </c>
      <c r="M7">
        <v>0.73299999999999998</v>
      </c>
      <c r="T7" t="s">
        <v>52</v>
      </c>
      <c r="U7">
        <f t="shared" si="0"/>
        <v>1</v>
      </c>
      <c r="V7" t="str">
        <f t="shared" si="1"/>
        <v>MLB</v>
      </c>
      <c r="W7" t="s">
        <v>1755</v>
      </c>
    </row>
    <row r="8" spans="1:23">
      <c r="A8">
        <v>2019</v>
      </c>
      <c r="B8">
        <v>1</v>
      </c>
      <c r="C8">
        <v>7</v>
      </c>
      <c r="D8">
        <v>7</v>
      </c>
      <c r="E8" t="s">
        <v>35</v>
      </c>
      <c r="F8" t="s">
        <v>227</v>
      </c>
      <c r="G8" t="s">
        <v>1</v>
      </c>
      <c r="H8">
        <v>8.3000000000000007</v>
      </c>
      <c r="N8">
        <v>78</v>
      </c>
      <c r="O8">
        <v>24</v>
      </c>
      <c r="P8">
        <v>23</v>
      </c>
      <c r="Q8">
        <v>4.17</v>
      </c>
      <c r="R8">
        <v>1.22</v>
      </c>
      <c r="S8">
        <v>0</v>
      </c>
      <c r="T8" t="s">
        <v>34</v>
      </c>
      <c r="U8">
        <f t="shared" si="0"/>
        <v>0</v>
      </c>
      <c r="V8" t="str">
        <f t="shared" si="1"/>
        <v>MLB</v>
      </c>
      <c r="W8" t="s">
        <v>1686</v>
      </c>
    </row>
    <row r="9" spans="1:23">
      <c r="A9">
        <v>2019</v>
      </c>
      <c r="B9">
        <v>1</v>
      </c>
      <c r="C9">
        <v>8</v>
      </c>
      <c r="D9">
        <v>8</v>
      </c>
      <c r="E9" t="s">
        <v>93</v>
      </c>
      <c r="F9" t="s">
        <v>228</v>
      </c>
      <c r="G9" t="s">
        <v>11</v>
      </c>
      <c r="H9">
        <v>6.1</v>
      </c>
      <c r="I9">
        <v>365</v>
      </c>
      <c r="J9">
        <v>1387</v>
      </c>
      <c r="K9">
        <v>54</v>
      </c>
      <c r="L9">
        <v>0.26200000000000001</v>
      </c>
      <c r="M9">
        <v>0.74199999999999999</v>
      </c>
      <c r="T9" t="s">
        <v>34</v>
      </c>
      <c r="U9">
        <f t="shared" si="0"/>
        <v>0</v>
      </c>
      <c r="V9" t="str">
        <f t="shared" si="1"/>
        <v>MLB</v>
      </c>
      <c r="W9" t="s">
        <v>1756</v>
      </c>
    </row>
    <row r="10" spans="1:23">
      <c r="A10">
        <v>2019</v>
      </c>
      <c r="B10">
        <v>1</v>
      </c>
      <c r="C10">
        <v>9</v>
      </c>
      <c r="D10">
        <v>9</v>
      </c>
      <c r="E10" t="s">
        <v>81</v>
      </c>
      <c r="F10" t="s">
        <v>229</v>
      </c>
      <c r="G10" t="s">
        <v>6</v>
      </c>
      <c r="H10">
        <v>9.9</v>
      </c>
      <c r="I10">
        <v>473</v>
      </c>
      <c r="J10">
        <v>1710</v>
      </c>
      <c r="K10">
        <v>100</v>
      </c>
      <c r="L10">
        <v>0.24299999999999999</v>
      </c>
      <c r="M10">
        <v>0.78</v>
      </c>
      <c r="T10" t="s">
        <v>34</v>
      </c>
      <c r="U10">
        <f t="shared" si="0"/>
        <v>0</v>
      </c>
      <c r="V10" t="str">
        <f t="shared" si="1"/>
        <v>MLB</v>
      </c>
      <c r="W10" t="s">
        <v>1757</v>
      </c>
    </row>
    <row r="11" spans="1:23">
      <c r="A11">
        <v>2019</v>
      </c>
      <c r="B11">
        <v>1</v>
      </c>
      <c r="C11">
        <v>10</v>
      </c>
      <c r="D11">
        <v>10</v>
      </c>
      <c r="E11" t="s">
        <v>59</v>
      </c>
      <c r="F11" t="s">
        <v>230</v>
      </c>
      <c r="G11" t="s">
        <v>2</v>
      </c>
      <c r="T11" t="s">
        <v>34</v>
      </c>
      <c r="U11">
        <f t="shared" si="0"/>
        <v>0</v>
      </c>
      <c r="V11" t="s">
        <v>12</v>
      </c>
      <c r="W11">
        <v>-9999</v>
      </c>
    </row>
    <row r="12" spans="1:23">
      <c r="A12">
        <v>2019</v>
      </c>
      <c r="B12">
        <v>1</v>
      </c>
      <c r="C12">
        <v>11</v>
      </c>
      <c r="D12">
        <v>11</v>
      </c>
      <c r="E12" t="s">
        <v>73</v>
      </c>
      <c r="F12" t="s">
        <v>231</v>
      </c>
      <c r="G12" t="s">
        <v>1</v>
      </c>
      <c r="H12">
        <v>7.6</v>
      </c>
      <c r="N12">
        <v>77</v>
      </c>
      <c r="O12">
        <v>29</v>
      </c>
      <c r="P12">
        <v>20</v>
      </c>
      <c r="Q12">
        <v>3.3</v>
      </c>
      <c r="R12">
        <v>1.1599999999999999</v>
      </c>
      <c r="S12">
        <v>0</v>
      </c>
      <c r="T12" t="s">
        <v>34</v>
      </c>
      <c r="U12">
        <f t="shared" si="0"/>
        <v>0</v>
      </c>
      <c r="V12" t="str">
        <f t="shared" si="1"/>
        <v>MLB</v>
      </c>
      <c r="W12" t="s">
        <v>1758</v>
      </c>
    </row>
    <row r="13" spans="1:23">
      <c r="A13">
        <v>2019</v>
      </c>
      <c r="B13">
        <v>1</v>
      </c>
      <c r="C13">
        <v>12</v>
      </c>
      <c r="D13">
        <v>12</v>
      </c>
      <c r="E13" t="s">
        <v>71</v>
      </c>
      <c r="F13" t="s">
        <v>232</v>
      </c>
      <c r="G13" t="s">
        <v>11</v>
      </c>
      <c r="H13">
        <v>2.5</v>
      </c>
      <c r="I13">
        <v>338</v>
      </c>
      <c r="J13">
        <v>1057</v>
      </c>
      <c r="K13">
        <v>34</v>
      </c>
      <c r="L13">
        <v>0.23</v>
      </c>
      <c r="M13">
        <v>0.65800000000000003</v>
      </c>
      <c r="T13" t="s">
        <v>52</v>
      </c>
      <c r="U13">
        <f t="shared" si="0"/>
        <v>1</v>
      </c>
      <c r="V13" t="str">
        <f t="shared" si="1"/>
        <v>MLB</v>
      </c>
      <c r="W13" t="s">
        <v>1759</v>
      </c>
    </row>
    <row r="14" spans="1:23">
      <c r="A14">
        <v>2019</v>
      </c>
      <c r="B14">
        <v>1</v>
      </c>
      <c r="C14">
        <v>13</v>
      </c>
      <c r="D14">
        <v>13</v>
      </c>
      <c r="E14" t="s">
        <v>75</v>
      </c>
      <c r="F14" t="s">
        <v>233</v>
      </c>
      <c r="G14" t="s">
        <v>5</v>
      </c>
      <c r="T14" t="s">
        <v>52</v>
      </c>
      <c r="U14">
        <f t="shared" si="0"/>
        <v>1</v>
      </c>
      <c r="V14" t="s">
        <v>14</v>
      </c>
      <c r="W14">
        <v>-9999</v>
      </c>
    </row>
    <row r="15" spans="1:23">
      <c r="A15">
        <v>2019</v>
      </c>
      <c r="B15">
        <v>1</v>
      </c>
      <c r="C15">
        <v>14</v>
      </c>
      <c r="D15">
        <v>14</v>
      </c>
      <c r="E15" t="s">
        <v>87</v>
      </c>
      <c r="F15" t="s">
        <v>234</v>
      </c>
      <c r="G15" t="s">
        <v>5</v>
      </c>
      <c r="H15">
        <v>9.8000000000000007</v>
      </c>
      <c r="I15">
        <v>610</v>
      </c>
      <c r="J15">
        <v>2146</v>
      </c>
      <c r="K15">
        <v>52</v>
      </c>
      <c r="L15">
        <v>0.253</v>
      </c>
      <c r="M15">
        <v>0.69699999999999995</v>
      </c>
      <c r="T15" t="s">
        <v>34</v>
      </c>
      <c r="U15">
        <f t="shared" si="0"/>
        <v>0</v>
      </c>
      <c r="V15" t="str">
        <f t="shared" si="1"/>
        <v>MLB</v>
      </c>
      <c r="W15" t="s">
        <v>1760</v>
      </c>
    </row>
    <row r="16" spans="1:23">
      <c r="A16">
        <v>2019</v>
      </c>
      <c r="B16">
        <v>1</v>
      </c>
      <c r="C16">
        <v>15</v>
      </c>
      <c r="D16">
        <v>15</v>
      </c>
      <c r="E16" t="s">
        <v>48</v>
      </c>
      <c r="F16" t="s">
        <v>235</v>
      </c>
      <c r="G16" t="s">
        <v>5</v>
      </c>
      <c r="H16">
        <v>-0.6</v>
      </c>
      <c r="N16">
        <v>1</v>
      </c>
      <c r="O16">
        <v>0</v>
      </c>
      <c r="P16">
        <v>0</v>
      </c>
      <c r="Q16">
        <v>9</v>
      </c>
      <c r="R16">
        <v>1</v>
      </c>
      <c r="S16">
        <v>0</v>
      </c>
      <c r="T16" t="s">
        <v>34</v>
      </c>
      <c r="U16">
        <f t="shared" si="0"/>
        <v>0</v>
      </c>
      <c r="V16" t="str">
        <f t="shared" si="1"/>
        <v>MLB</v>
      </c>
      <c r="W16" t="s">
        <v>1761</v>
      </c>
    </row>
    <row r="17" spans="1:23">
      <c r="A17">
        <v>2019</v>
      </c>
      <c r="B17">
        <v>1</v>
      </c>
      <c r="C17">
        <v>16</v>
      </c>
      <c r="D17">
        <v>16</v>
      </c>
      <c r="E17" t="s">
        <v>91</v>
      </c>
      <c r="F17" t="s">
        <v>236</v>
      </c>
      <c r="G17" t="s">
        <v>237</v>
      </c>
      <c r="H17">
        <v>17.2</v>
      </c>
      <c r="I17">
        <v>528</v>
      </c>
      <c r="J17">
        <v>1961</v>
      </c>
      <c r="K17">
        <v>87</v>
      </c>
      <c r="L17">
        <v>0.25900000000000001</v>
      </c>
      <c r="M17">
        <v>0.83599999999999997</v>
      </c>
      <c r="T17" t="s">
        <v>52</v>
      </c>
      <c r="U17">
        <f t="shared" si="0"/>
        <v>1</v>
      </c>
      <c r="V17" t="str">
        <f t="shared" si="1"/>
        <v>MLB</v>
      </c>
      <c r="W17" t="s">
        <v>1762</v>
      </c>
    </row>
    <row r="18" spans="1:23">
      <c r="A18">
        <v>2019</v>
      </c>
      <c r="B18">
        <v>1</v>
      </c>
      <c r="C18">
        <v>17</v>
      </c>
      <c r="D18">
        <v>17</v>
      </c>
      <c r="E18" t="s">
        <v>53</v>
      </c>
      <c r="F18" t="s">
        <v>238</v>
      </c>
      <c r="G18" t="s">
        <v>1</v>
      </c>
      <c r="H18">
        <v>-0.7</v>
      </c>
      <c r="N18">
        <v>71</v>
      </c>
      <c r="O18">
        <v>5</v>
      </c>
      <c r="P18">
        <v>3</v>
      </c>
      <c r="Q18">
        <v>6.29</v>
      </c>
      <c r="R18">
        <v>1.54</v>
      </c>
      <c r="S18">
        <v>0</v>
      </c>
      <c r="T18" t="s">
        <v>163</v>
      </c>
      <c r="U18">
        <f t="shared" si="0"/>
        <v>0</v>
      </c>
      <c r="V18" t="str">
        <f t="shared" si="1"/>
        <v>MLB</v>
      </c>
      <c r="W18" t="s">
        <v>1763</v>
      </c>
    </row>
    <row r="19" spans="1:23">
      <c r="A19">
        <v>2019</v>
      </c>
      <c r="B19">
        <v>1</v>
      </c>
      <c r="C19">
        <v>18</v>
      </c>
      <c r="D19">
        <v>18</v>
      </c>
      <c r="E19" t="s">
        <v>50</v>
      </c>
      <c r="F19" t="s">
        <v>239</v>
      </c>
      <c r="G19" t="s">
        <v>1</v>
      </c>
      <c r="H19">
        <v>1.9</v>
      </c>
      <c r="N19">
        <v>50</v>
      </c>
      <c r="O19">
        <v>19</v>
      </c>
      <c r="P19">
        <v>12</v>
      </c>
      <c r="Q19">
        <v>4.45</v>
      </c>
      <c r="R19">
        <v>1.36</v>
      </c>
      <c r="S19">
        <v>0</v>
      </c>
      <c r="T19" t="s">
        <v>52</v>
      </c>
      <c r="U19">
        <f t="shared" si="0"/>
        <v>1</v>
      </c>
      <c r="V19" t="str">
        <f t="shared" si="1"/>
        <v>MLB</v>
      </c>
      <c r="W19" t="s">
        <v>1764</v>
      </c>
    </row>
    <row r="20" spans="1:23">
      <c r="A20">
        <v>2019</v>
      </c>
      <c r="B20">
        <v>1</v>
      </c>
      <c r="C20">
        <v>19</v>
      </c>
      <c r="D20">
        <v>19</v>
      </c>
      <c r="E20" t="s">
        <v>46</v>
      </c>
      <c r="F20" t="s">
        <v>240</v>
      </c>
      <c r="G20" t="s">
        <v>1</v>
      </c>
      <c r="H20">
        <v>0.6</v>
      </c>
      <c r="N20">
        <v>52</v>
      </c>
      <c r="O20">
        <v>6</v>
      </c>
      <c r="P20">
        <v>10</v>
      </c>
      <c r="Q20">
        <v>4.5</v>
      </c>
      <c r="R20">
        <v>1.36</v>
      </c>
      <c r="S20">
        <v>1</v>
      </c>
      <c r="T20" t="s">
        <v>34</v>
      </c>
      <c r="U20">
        <f t="shared" si="0"/>
        <v>0</v>
      </c>
      <c r="V20" t="str">
        <f t="shared" si="1"/>
        <v>MLB</v>
      </c>
      <c r="W20" t="s">
        <v>1765</v>
      </c>
    </row>
    <row r="21" spans="1:23">
      <c r="A21">
        <v>2019</v>
      </c>
      <c r="B21">
        <v>1</v>
      </c>
      <c r="C21">
        <v>20</v>
      </c>
      <c r="D21">
        <v>20</v>
      </c>
      <c r="E21" t="s">
        <v>63</v>
      </c>
      <c r="F21" t="s">
        <v>241</v>
      </c>
      <c r="G21" t="s">
        <v>1</v>
      </c>
      <c r="H21">
        <v>9.5</v>
      </c>
      <c r="N21">
        <v>121</v>
      </c>
      <c r="O21">
        <v>50</v>
      </c>
      <c r="P21">
        <v>36</v>
      </c>
      <c r="Q21">
        <v>3.52</v>
      </c>
      <c r="R21">
        <v>1.1200000000000001</v>
      </c>
      <c r="S21">
        <v>0</v>
      </c>
      <c r="T21" t="s">
        <v>34</v>
      </c>
      <c r="U21">
        <f t="shared" si="0"/>
        <v>0</v>
      </c>
      <c r="V21" t="str">
        <f t="shared" si="1"/>
        <v>MLB</v>
      </c>
      <c r="W21" t="s">
        <v>1766</v>
      </c>
    </row>
    <row r="22" spans="1:23">
      <c r="A22">
        <v>2019</v>
      </c>
      <c r="B22">
        <v>1</v>
      </c>
      <c r="C22">
        <v>21</v>
      </c>
      <c r="D22">
        <v>21</v>
      </c>
      <c r="E22" t="s">
        <v>81</v>
      </c>
      <c r="F22" t="s">
        <v>242</v>
      </c>
      <c r="G22" t="s">
        <v>5</v>
      </c>
      <c r="H22">
        <v>0</v>
      </c>
      <c r="I22">
        <v>44</v>
      </c>
      <c r="J22">
        <v>101</v>
      </c>
      <c r="K22">
        <v>4</v>
      </c>
      <c r="L22">
        <v>0.19800000000000001</v>
      </c>
      <c r="M22">
        <v>0.53900000000000003</v>
      </c>
      <c r="T22" t="s">
        <v>34</v>
      </c>
      <c r="U22">
        <f t="shared" si="0"/>
        <v>0</v>
      </c>
      <c r="V22" t="str">
        <f t="shared" si="1"/>
        <v>MLB</v>
      </c>
      <c r="W22" t="s">
        <v>1767</v>
      </c>
    </row>
    <row r="23" spans="1:23">
      <c r="A23">
        <v>2019</v>
      </c>
      <c r="B23">
        <v>1</v>
      </c>
      <c r="C23">
        <v>22</v>
      </c>
      <c r="D23">
        <v>22</v>
      </c>
      <c r="E23" t="s">
        <v>69</v>
      </c>
      <c r="F23" t="s">
        <v>243</v>
      </c>
      <c r="G23" t="s">
        <v>5</v>
      </c>
      <c r="H23">
        <v>-0.6</v>
      </c>
      <c r="I23">
        <v>20</v>
      </c>
      <c r="J23">
        <v>28</v>
      </c>
      <c r="K23">
        <v>1</v>
      </c>
      <c r="L23">
        <v>0.107</v>
      </c>
      <c r="M23">
        <v>0.35199999999999998</v>
      </c>
      <c r="T23" t="s">
        <v>34</v>
      </c>
      <c r="U23">
        <f t="shared" si="0"/>
        <v>0</v>
      </c>
      <c r="V23" t="str">
        <f t="shared" si="1"/>
        <v>MLB</v>
      </c>
      <c r="W23" t="s">
        <v>1768</v>
      </c>
    </row>
    <row r="24" spans="1:23">
      <c r="A24">
        <v>2019</v>
      </c>
      <c r="B24">
        <v>1</v>
      </c>
      <c r="C24">
        <v>23</v>
      </c>
      <c r="D24">
        <v>23</v>
      </c>
      <c r="E24" t="s">
        <v>37</v>
      </c>
      <c r="F24" t="s">
        <v>244</v>
      </c>
      <c r="G24" t="s">
        <v>3</v>
      </c>
      <c r="H24">
        <v>-1.1000000000000001</v>
      </c>
      <c r="I24">
        <v>280</v>
      </c>
      <c r="J24">
        <v>957</v>
      </c>
      <c r="K24">
        <v>42</v>
      </c>
      <c r="L24">
        <v>0.20100000000000001</v>
      </c>
      <c r="M24">
        <v>0.66600000000000004</v>
      </c>
      <c r="T24" t="s">
        <v>34</v>
      </c>
      <c r="U24">
        <f t="shared" si="0"/>
        <v>0</v>
      </c>
      <c r="V24" t="str">
        <f t="shared" si="1"/>
        <v>MLB</v>
      </c>
      <c r="W24" t="s">
        <v>1769</v>
      </c>
    </row>
    <row r="25" spans="1:23">
      <c r="A25">
        <v>2019</v>
      </c>
      <c r="B25">
        <v>1</v>
      </c>
      <c r="C25">
        <v>24</v>
      </c>
      <c r="D25">
        <v>24</v>
      </c>
      <c r="E25" t="s">
        <v>206</v>
      </c>
      <c r="F25" t="s">
        <v>245</v>
      </c>
      <c r="G25" t="s">
        <v>1</v>
      </c>
      <c r="T25" t="s">
        <v>52</v>
      </c>
      <c r="U25">
        <f t="shared" si="0"/>
        <v>1</v>
      </c>
      <c r="V25" t="s">
        <v>12</v>
      </c>
      <c r="W25">
        <v>-9999</v>
      </c>
    </row>
    <row r="26" spans="1:23">
      <c r="A26">
        <v>2019</v>
      </c>
      <c r="B26">
        <v>1</v>
      </c>
      <c r="C26">
        <v>25</v>
      </c>
      <c r="D26">
        <v>25</v>
      </c>
      <c r="E26" t="s">
        <v>79</v>
      </c>
      <c r="F26" t="s">
        <v>246</v>
      </c>
      <c r="G26" t="s">
        <v>11</v>
      </c>
      <c r="T26" t="s">
        <v>34</v>
      </c>
      <c r="U26">
        <f t="shared" si="0"/>
        <v>0</v>
      </c>
      <c r="V26" t="s">
        <v>12</v>
      </c>
      <c r="W26">
        <v>-9999</v>
      </c>
    </row>
    <row r="27" spans="1:23">
      <c r="A27">
        <v>2019</v>
      </c>
      <c r="B27">
        <v>1</v>
      </c>
      <c r="C27">
        <v>26</v>
      </c>
      <c r="D27">
        <v>26</v>
      </c>
      <c r="E27" t="s">
        <v>91</v>
      </c>
      <c r="F27" t="s">
        <v>247</v>
      </c>
      <c r="G27" t="s">
        <v>1</v>
      </c>
      <c r="H27">
        <v>-0.1</v>
      </c>
      <c r="N27">
        <v>7</v>
      </c>
      <c r="O27">
        <v>1</v>
      </c>
      <c r="P27">
        <v>0</v>
      </c>
      <c r="Q27">
        <v>4.42</v>
      </c>
      <c r="R27">
        <v>1.42</v>
      </c>
      <c r="S27">
        <v>0</v>
      </c>
      <c r="T27" t="s">
        <v>52</v>
      </c>
      <c r="U27">
        <f t="shared" si="0"/>
        <v>1</v>
      </c>
      <c r="V27" t="str">
        <f t="shared" si="1"/>
        <v>MLB</v>
      </c>
      <c r="W27" t="s">
        <v>1770</v>
      </c>
    </row>
    <row r="28" spans="1:23">
      <c r="A28">
        <v>2019</v>
      </c>
      <c r="B28">
        <v>1</v>
      </c>
      <c r="C28">
        <v>27</v>
      </c>
      <c r="D28">
        <v>27</v>
      </c>
      <c r="E28" t="s">
        <v>61</v>
      </c>
      <c r="F28" t="s">
        <v>248</v>
      </c>
      <c r="G28" t="s">
        <v>1</v>
      </c>
      <c r="T28" t="s">
        <v>34</v>
      </c>
      <c r="U28">
        <f t="shared" si="0"/>
        <v>0</v>
      </c>
      <c r="V28" t="s">
        <v>12</v>
      </c>
      <c r="W28">
        <v>-9999</v>
      </c>
    </row>
    <row r="29" spans="1:23">
      <c r="A29">
        <v>2019</v>
      </c>
      <c r="B29">
        <v>1</v>
      </c>
      <c r="C29">
        <v>28</v>
      </c>
      <c r="D29">
        <v>28</v>
      </c>
      <c r="E29" t="s">
        <v>67</v>
      </c>
      <c r="F29" t="s">
        <v>249</v>
      </c>
      <c r="G29" t="s">
        <v>1</v>
      </c>
      <c r="H29">
        <v>-0.3</v>
      </c>
      <c r="N29">
        <v>4</v>
      </c>
      <c r="O29">
        <v>0</v>
      </c>
      <c r="P29">
        <v>0</v>
      </c>
      <c r="Q29">
        <v>8.7100000000000009</v>
      </c>
      <c r="R29">
        <v>2.61</v>
      </c>
      <c r="S29">
        <v>1</v>
      </c>
      <c r="T29" t="s">
        <v>34</v>
      </c>
      <c r="U29">
        <f t="shared" si="0"/>
        <v>0</v>
      </c>
      <c r="V29" t="str">
        <f t="shared" si="1"/>
        <v>MLB</v>
      </c>
      <c r="W29" t="s">
        <v>1771</v>
      </c>
    </row>
    <row r="30" spans="1:23">
      <c r="A30">
        <v>2019</v>
      </c>
      <c r="B30">
        <v>1</v>
      </c>
      <c r="C30">
        <v>29</v>
      </c>
      <c r="D30">
        <v>29</v>
      </c>
      <c r="E30" t="s">
        <v>39</v>
      </c>
      <c r="F30" t="s">
        <v>250</v>
      </c>
      <c r="G30" t="s">
        <v>5</v>
      </c>
      <c r="H30">
        <v>-0.6</v>
      </c>
      <c r="I30">
        <v>19</v>
      </c>
      <c r="J30">
        <v>42</v>
      </c>
      <c r="K30">
        <v>1</v>
      </c>
      <c r="L30">
        <v>0.16700000000000001</v>
      </c>
      <c r="M30">
        <v>0.50800000000000001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34</v>
      </c>
      <c r="U30">
        <f t="shared" si="0"/>
        <v>0</v>
      </c>
      <c r="V30" t="str">
        <f t="shared" si="1"/>
        <v>MLB</v>
      </c>
      <c r="W30" t="s">
        <v>1772</v>
      </c>
    </row>
    <row r="31" spans="1:23">
      <c r="A31">
        <v>2019</v>
      </c>
      <c r="B31">
        <v>1</v>
      </c>
      <c r="C31">
        <v>30</v>
      </c>
      <c r="D31">
        <v>30</v>
      </c>
      <c r="E31" t="s">
        <v>85</v>
      </c>
      <c r="F31" t="s">
        <v>251</v>
      </c>
      <c r="G31" t="s">
        <v>5</v>
      </c>
      <c r="H31">
        <v>8.3000000000000007</v>
      </c>
      <c r="I31">
        <v>473</v>
      </c>
      <c r="J31">
        <v>1720</v>
      </c>
      <c r="K31">
        <v>52</v>
      </c>
      <c r="L31">
        <v>0.222</v>
      </c>
      <c r="M31">
        <v>0.66100000000000003</v>
      </c>
      <c r="T31" t="s">
        <v>52</v>
      </c>
      <c r="U31">
        <f t="shared" si="0"/>
        <v>1</v>
      </c>
      <c r="V31" t="str">
        <f t="shared" si="1"/>
        <v>MLB</v>
      </c>
      <c r="W31" t="s">
        <v>1773</v>
      </c>
    </row>
    <row r="32" spans="1:23">
      <c r="A32">
        <v>2019</v>
      </c>
      <c r="B32">
        <v>1</v>
      </c>
      <c r="C32">
        <v>31</v>
      </c>
      <c r="D32">
        <v>31</v>
      </c>
      <c r="E32" t="s">
        <v>79</v>
      </c>
      <c r="F32" t="s">
        <v>252</v>
      </c>
      <c r="G32" t="s">
        <v>0</v>
      </c>
      <c r="H32">
        <v>7.5</v>
      </c>
      <c r="I32">
        <v>376</v>
      </c>
      <c r="J32">
        <v>1244</v>
      </c>
      <c r="K32">
        <v>60</v>
      </c>
      <c r="L32">
        <v>0.247</v>
      </c>
      <c r="M32">
        <v>0.79100000000000004</v>
      </c>
      <c r="T32" t="s">
        <v>34</v>
      </c>
      <c r="U32">
        <f t="shared" si="0"/>
        <v>0</v>
      </c>
      <c r="V32" t="str">
        <f t="shared" si="1"/>
        <v>MLB</v>
      </c>
      <c r="W32" t="s">
        <v>1774</v>
      </c>
    </row>
    <row r="33" spans="1:23">
      <c r="A33">
        <v>2019</v>
      </c>
      <c r="B33">
        <v>1</v>
      </c>
      <c r="C33">
        <v>32</v>
      </c>
      <c r="D33">
        <v>32</v>
      </c>
      <c r="E33" t="s">
        <v>89</v>
      </c>
      <c r="F33" t="s">
        <v>253</v>
      </c>
      <c r="G33" t="s">
        <v>6</v>
      </c>
      <c r="H33">
        <v>-0.8</v>
      </c>
      <c r="I33">
        <v>186</v>
      </c>
      <c r="J33">
        <v>502</v>
      </c>
      <c r="K33">
        <v>14</v>
      </c>
      <c r="L33">
        <v>0.193</v>
      </c>
      <c r="M33">
        <v>0.55500000000000005</v>
      </c>
      <c r="T33" t="s">
        <v>34</v>
      </c>
      <c r="U33">
        <f t="shared" si="0"/>
        <v>0</v>
      </c>
      <c r="V33" t="str">
        <f t="shared" si="1"/>
        <v>MLB</v>
      </c>
      <c r="W33" t="s">
        <v>1775</v>
      </c>
    </row>
    <row r="34" spans="1:23">
      <c r="A34">
        <v>2019</v>
      </c>
      <c r="B34">
        <v>1</v>
      </c>
      <c r="C34">
        <v>33</v>
      </c>
      <c r="D34">
        <v>33</v>
      </c>
      <c r="E34" t="s">
        <v>91</v>
      </c>
      <c r="F34" t="s">
        <v>254</v>
      </c>
      <c r="G34" t="s">
        <v>1</v>
      </c>
      <c r="T34" t="s">
        <v>52</v>
      </c>
      <c r="U34">
        <f t="shared" si="0"/>
        <v>1</v>
      </c>
      <c r="V34" t="s">
        <v>1114</v>
      </c>
      <c r="W34">
        <v>-9999</v>
      </c>
    </row>
    <row r="35" spans="1:23">
      <c r="A35">
        <v>2019</v>
      </c>
      <c r="B35">
        <v>1</v>
      </c>
      <c r="C35">
        <v>34</v>
      </c>
      <c r="D35">
        <v>34</v>
      </c>
      <c r="E35" t="s">
        <v>91</v>
      </c>
      <c r="F35" t="s">
        <v>255</v>
      </c>
      <c r="G35" t="s">
        <v>1</v>
      </c>
      <c r="H35">
        <v>2.2000000000000002</v>
      </c>
      <c r="N35">
        <v>22</v>
      </c>
      <c r="O35">
        <v>6</v>
      </c>
      <c r="P35">
        <v>2</v>
      </c>
      <c r="Q35">
        <v>2.65</v>
      </c>
      <c r="R35">
        <v>1.35</v>
      </c>
      <c r="S35">
        <v>2</v>
      </c>
      <c r="T35" t="s">
        <v>34</v>
      </c>
      <c r="U35">
        <f t="shared" si="0"/>
        <v>0</v>
      </c>
      <c r="V35" t="str">
        <f t="shared" si="1"/>
        <v>MLB</v>
      </c>
      <c r="W35" t="s">
        <v>1776</v>
      </c>
    </row>
    <row r="36" spans="1:23">
      <c r="A36">
        <v>2019</v>
      </c>
      <c r="B36">
        <v>1</v>
      </c>
      <c r="C36">
        <v>35</v>
      </c>
      <c r="D36">
        <v>35</v>
      </c>
      <c r="E36" t="s">
        <v>65</v>
      </c>
      <c r="F36" t="s">
        <v>256</v>
      </c>
      <c r="G36" t="s">
        <v>237</v>
      </c>
      <c r="H36">
        <v>0.3</v>
      </c>
      <c r="I36">
        <v>79</v>
      </c>
      <c r="J36">
        <v>212</v>
      </c>
      <c r="K36">
        <v>5</v>
      </c>
      <c r="L36">
        <v>0.20300000000000001</v>
      </c>
      <c r="M36">
        <v>0.58499999999999996</v>
      </c>
      <c r="T36" t="s">
        <v>34</v>
      </c>
      <c r="U36">
        <f t="shared" si="0"/>
        <v>0</v>
      </c>
      <c r="V36" t="str">
        <f t="shared" si="1"/>
        <v>MLB</v>
      </c>
      <c r="W36" t="s">
        <v>1777</v>
      </c>
    </row>
    <row r="37" spans="1:23">
      <c r="A37">
        <v>2019</v>
      </c>
      <c r="B37">
        <v>1</v>
      </c>
      <c r="C37">
        <v>36</v>
      </c>
      <c r="D37">
        <v>36</v>
      </c>
      <c r="E37" t="s">
        <v>69</v>
      </c>
      <c r="F37" t="s">
        <v>257</v>
      </c>
      <c r="G37" t="s">
        <v>1</v>
      </c>
      <c r="T37" t="s">
        <v>52</v>
      </c>
      <c r="U37">
        <f t="shared" si="0"/>
        <v>1</v>
      </c>
      <c r="V37" t="s">
        <v>13</v>
      </c>
      <c r="W37">
        <v>-9999</v>
      </c>
    </row>
    <row r="38" spans="1:23">
      <c r="A38">
        <v>2019</v>
      </c>
      <c r="B38">
        <v>1</v>
      </c>
      <c r="C38">
        <v>37</v>
      </c>
      <c r="D38">
        <v>37</v>
      </c>
      <c r="E38" t="s">
        <v>50</v>
      </c>
      <c r="F38" t="s">
        <v>258</v>
      </c>
      <c r="G38" t="s">
        <v>237</v>
      </c>
      <c r="T38" t="s">
        <v>52</v>
      </c>
      <c r="U38">
        <f t="shared" si="0"/>
        <v>1</v>
      </c>
      <c r="V38" t="s">
        <v>12</v>
      </c>
      <c r="W38">
        <v>-9999</v>
      </c>
    </row>
    <row r="39" spans="1:23">
      <c r="A39">
        <v>2019</v>
      </c>
      <c r="B39">
        <v>1</v>
      </c>
      <c r="C39">
        <v>38</v>
      </c>
      <c r="D39">
        <v>38</v>
      </c>
      <c r="E39" t="s">
        <v>85</v>
      </c>
      <c r="F39" t="s">
        <v>259</v>
      </c>
      <c r="G39" t="s">
        <v>1</v>
      </c>
      <c r="T39" t="s">
        <v>34</v>
      </c>
      <c r="U39">
        <f t="shared" si="0"/>
        <v>0</v>
      </c>
      <c r="V39" t="s">
        <v>12</v>
      </c>
      <c r="W39">
        <v>-9999</v>
      </c>
    </row>
    <row r="40" spans="1:23">
      <c r="A40">
        <v>2019</v>
      </c>
      <c r="B40">
        <v>1</v>
      </c>
      <c r="C40">
        <v>39</v>
      </c>
      <c r="D40">
        <v>39</v>
      </c>
      <c r="E40" t="s">
        <v>75</v>
      </c>
      <c r="F40" t="s">
        <v>260</v>
      </c>
      <c r="G40" t="s">
        <v>4</v>
      </c>
      <c r="H40">
        <v>3.4</v>
      </c>
      <c r="I40">
        <v>307</v>
      </c>
      <c r="J40">
        <v>946</v>
      </c>
      <c r="K40">
        <v>55</v>
      </c>
      <c r="L40">
        <v>0.223</v>
      </c>
      <c r="M40">
        <v>0.79400000000000004</v>
      </c>
      <c r="T40" t="s">
        <v>34</v>
      </c>
      <c r="U40">
        <f t="shared" si="0"/>
        <v>0</v>
      </c>
      <c r="V40" t="str">
        <f t="shared" si="1"/>
        <v>MLB</v>
      </c>
      <c r="W40" t="s">
        <v>1778</v>
      </c>
    </row>
    <row r="41" spans="1:23">
      <c r="A41">
        <v>2019</v>
      </c>
      <c r="B41">
        <v>1</v>
      </c>
      <c r="C41">
        <v>40</v>
      </c>
      <c r="D41">
        <v>40</v>
      </c>
      <c r="E41" t="s">
        <v>69</v>
      </c>
      <c r="F41" t="s">
        <v>261</v>
      </c>
      <c r="G41" t="s">
        <v>1</v>
      </c>
      <c r="H41">
        <v>-0.5</v>
      </c>
      <c r="N41">
        <v>14</v>
      </c>
      <c r="O41">
        <v>1</v>
      </c>
      <c r="P41">
        <v>2</v>
      </c>
      <c r="Q41">
        <v>8.68</v>
      </c>
      <c r="R41">
        <v>1.82</v>
      </c>
      <c r="S41">
        <v>0</v>
      </c>
      <c r="T41" t="s">
        <v>34</v>
      </c>
      <c r="U41">
        <f t="shared" si="0"/>
        <v>0</v>
      </c>
      <c r="V41" t="str">
        <f t="shared" si="1"/>
        <v>MLB</v>
      </c>
      <c r="W41" t="s">
        <v>1779</v>
      </c>
    </row>
    <row r="42" spans="1:23">
      <c r="A42">
        <v>2019</v>
      </c>
      <c r="B42">
        <v>1</v>
      </c>
      <c r="C42">
        <v>41</v>
      </c>
      <c r="D42">
        <v>41</v>
      </c>
      <c r="E42" t="s">
        <v>93</v>
      </c>
      <c r="F42" t="s">
        <v>262</v>
      </c>
      <c r="G42" t="s">
        <v>11</v>
      </c>
      <c r="H42">
        <v>-0.1</v>
      </c>
      <c r="I42">
        <v>27</v>
      </c>
      <c r="J42">
        <v>47</v>
      </c>
      <c r="K42">
        <v>1</v>
      </c>
      <c r="L42">
        <v>0.128</v>
      </c>
      <c r="M42">
        <v>0.39700000000000002</v>
      </c>
      <c r="T42" t="s">
        <v>34</v>
      </c>
      <c r="U42">
        <f t="shared" si="0"/>
        <v>0</v>
      </c>
      <c r="V42" t="str">
        <f t="shared" si="1"/>
        <v>MLB</v>
      </c>
      <c r="W42" t="s">
        <v>1780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F9DD-235E-462C-9F8D-A3EC5146CA05}">
  <dimension ref="A1:W38"/>
  <sheetViews>
    <sheetView workbookViewId="0">
      <selection activeCell="W1" sqref="W1"/>
    </sheetView>
  </sheetViews>
  <sheetFormatPr defaultRowHeight="14.5"/>
  <cols>
    <col min="1" max="1" width="4.81640625" bestFit="1" customWidth="1"/>
    <col min="2" max="2" width="3.90625" bestFit="1" customWidth="1"/>
    <col min="3" max="3" width="6" bestFit="1" customWidth="1"/>
    <col min="4" max="4" width="5.90625" bestFit="1" customWidth="1"/>
    <col min="5" max="5" width="13" bestFit="1" customWidth="1"/>
    <col min="6" max="6" width="24.26953125" bestFit="1" customWidth="1"/>
    <col min="7" max="7" width="3.81640625" bestFit="1" customWidth="1"/>
    <col min="8" max="8" width="4.6328125" bestFit="1" customWidth="1"/>
    <col min="9" max="9" width="3.81640625" bestFit="1" customWidth="1"/>
    <col min="10" max="10" width="4.81640625" bestFit="1" customWidth="1"/>
    <col min="11" max="11" width="3.1796875" bestFit="1" customWidth="1"/>
    <col min="12" max="13" width="5.81640625" bestFit="1" customWidth="1"/>
    <col min="14" max="16" width="2.81640625" bestFit="1" customWidth="1"/>
    <col min="17" max="17" width="5.81640625" bestFit="1" customWidth="1"/>
    <col min="18" max="18" width="5.26953125" bestFit="1" customWidth="1"/>
    <col min="19" max="19" width="2.90625" bestFit="1" customWidth="1"/>
    <col min="20" max="20" width="4.54296875" bestFit="1" customWidth="1"/>
    <col min="21" max="21" width="4" bestFit="1" customWidth="1"/>
    <col min="22" max="22" width="9.90625" bestFit="1" customWidth="1"/>
  </cols>
  <sheetData>
    <row r="1" spans="1:23">
      <c r="A1" s="4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 s="4">
        <v>2020</v>
      </c>
      <c r="B2">
        <v>1</v>
      </c>
      <c r="C2">
        <v>1</v>
      </c>
      <c r="D2">
        <v>1</v>
      </c>
      <c r="E2" t="s">
        <v>55</v>
      </c>
      <c r="F2" t="s">
        <v>1117</v>
      </c>
      <c r="G2" t="s">
        <v>11</v>
      </c>
      <c r="H2">
        <v>1.6</v>
      </c>
      <c r="I2">
        <v>558</v>
      </c>
      <c r="J2">
        <v>2010</v>
      </c>
      <c r="K2">
        <v>86</v>
      </c>
      <c r="L2">
        <v>0.22500000000000001</v>
      </c>
      <c r="M2">
        <v>0.72099999999999997</v>
      </c>
      <c r="T2" t="s">
        <v>34</v>
      </c>
      <c r="U2">
        <f>IF(ISNUMBER(SEARCH("HS",T5)),1,0)</f>
        <v>0</v>
      </c>
      <c r="V2" t="str">
        <f>IF(ISNUMBER(H2),"MLB","")</f>
        <v>MLB</v>
      </c>
      <c r="W2" t="s">
        <v>1781</v>
      </c>
    </row>
    <row r="3" spans="1:23">
      <c r="A3" s="4">
        <v>2020</v>
      </c>
      <c r="B3">
        <v>1</v>
      </c>
      <c r="C3">
        <v>2</v>
      </c>
      <c r="D3">
        <v>2</v>
      </c>
      <c r="E3" t="s">
        <v>77</v>
      </c>
      <c r="F3" t="s">
        <v>1118</v>
      </c>
      <c r="G3" t="s">
        <v>2</v>
      </c>
      <c r="H3">
        <v>-1.1000000000000001</v>
      </c>
      <c r="I3">
        <v>106</v>
      </c>
      <c r="J3">
        <v>285</v>
      </c>
      <c r="K3">
        <v>10</v>
      </c>
      <c r="L3">
        <v>0.218</v>
      </c>
      <c r="M3">
        <v>0.64900000000000002</v>
      </c>
      <c r="T3" t="s">
        <v>34</v>
      </c>
      <c r="U3">
        <f t="shared" ref="U3:U38" si="0">IF(ISNUMBER(SEARCH("HS",T6)),1,0)</f>
        <v>0</v>
      </c>
      <c r="V3" t="str">
        <f t="shared" ref="V3:V38" si="1">IF(ISNUMBER(H3),"MLB","")</f>
        <v>MLB</v>
      </c>
      <c r="W3" t="s">
        <v>1782</v>
      </c>
    </row>
    <row r="4" spans="1:23">
      <c r="A4" s="4">
        <v>2020</v>
      </c>
      <c r="B4">
        <v>1</v>
      </c>
      <c r="C4">
        <v>3</v>
      </c>
      <c r="D4">
        <v>3</v>
      </c>
      <c r="E4" t="s">
        <v>65</v>
      </c>
      <c r="F4" t="s">
        <v>1119</v>
      </c>
      <c r="G4" t="s">
        <v>1</v>
      </c>
      <c r="H4">
        <v>0.9</v>
      </c>
      <c r="I4">
        <v>0</v>
      </c>
      <c r="J4">
        <v>0</v>
      </c>
      <c r="K4">
        <v>0</v>
      </c>
      <c r="N4">
        <v>34</v>
      </c>
      <c r="O4">
        <v>9</v>
      </c>
      <c r="P4">
        <v>11</v>
      </c>
      <c r="Q4">
        <v>4.72</v>
      </c>
      <c r="R4">
        <v>1.35</v>
      </c>
      <c r="S4">
        <v>0</v>
      </c>
      <c r="T4" t="s">
        <v>34</v>
      </c>
      <c r="U4">
        <f t="shared" si="0"/>
        <v>0</v>
      </c>
      <c r="V4" t="str">
        <f t="shared" si="1"/>
        <v>MLB</v>
      </c>
      <c r="W4" t="s">
        <v>1783</v>
      </c>
    </row>
    <row r="5" spans="1:23">
      <c r="A5" s="4">
        <v>2020</v>
      </c>
      <c r="B5">
        <v>1</v>
      </c>
      <c r="C5">
        <v>4</v>
      </c>
      <c r="D5">
        <v>4</v>
      </c>
      <c r="E5" t="s">
        <v>43</v>
      </c>
      <c r="F5" t="s">
        <v>1120</v>
      </c>
      <c r="G5" t="s">
        <v>1</v>
      </c>
      <c r="T5" t="s">
        <v>34</v>
      </c>
      <c r="U5">
        <f t="shared" si="0"/>
        <v>0</v>
      </c>
      <c r="V5" t="s">
        <v>13</v>
      </c>
      <c r="W5">
        <v>-9999</v>
      </c>
    </row>
    <row r="6" spans="1:23">
      <c r="A6" s="4">
        <v>2020</v>
      </c>
      <c r="B6">
        <v>1</v>
      </c>
      <c r="C6">
        <v>5</v>
      </c>
      <c r="D6">
        <v>5</v>
      </c>
      <c r="E6" t="s">
        <v>73</v>
      </c>
      <c r="F6" t="s">
        <v>1121</v>
      </c>
      <c r="G6" t="s">
        <v>5</v>
      </c>
      <c r="H6">
        <v>0.8</v>
      </c>
      <c r="I6">
        <v>180</v>
      </c>
      <c r="J6">
        <v>490</v>
      </c>
      <c r="K6">
        <v>3</v>
      </c>
      <c r="L6">
        <v>0.27800000000000002</v>
      </c>
      <c r="M6">
        <v>0.73399999999999999</v>
      </c>
      <c r="T6" t="s">
        <v>34</v>
      </c>
      <c r="U6">
        <f t="shared" si="0"/>
        <v>1</v>
      </c>
      <c r="V6" t="str">
        <f t="shared" si="1"/>
        <v>MLB</v>
      </c>
      <c r="W6" t="s">
        <v>1784</v>
      </c>
    </row>
    <row r="7" spans="1:23">
      <c r="A7" s="4">
        <v>2020</v>
      </c>
      <c r="B7">
        <v>1</v>
      </c>
      <c r="C7">
        <v>6</v>
      </c>
      <c r="D7">
        <v>6</v>
      </c>
      <c r="E7" t="s">
        <v>63</v>
      </c>
      <c r="F7" t="s">
        <v>1122</v>
      </c>
      <c r="G7" t="s">
        <v>1</v>
      </c>
      <c r="H7">
        <v>0.2</v>
      </c>
      <c r="I7">
        <v>1</v>
      </c>
      <c r="J7">
        <v>0</v>
      </c>
      <c r="K7">
        <v>0</v>
      </c>
      <c r="N7">
        <v>45</v>
      </c>
      <c r="O7">
        <v>11</v>
      </c>
      <c r="P7">
        <v>10</v>
      </c>
      <c r="Q7">
        <v>4.45</v>
      </c>
      <c r="R7">
        <v>1.28</v>
      </c>
      <c r="S7">
        <v>0</v>
      </c>
      <c r="T7" t="s">
        <v>34</v>
      </c>
      <c r="U7">
        <f t="shared" si="0"/>
        <v>1</v>
      </c>
      <c r="V7" t="str">
        <f t="shared" si="1"/>
        <v>MLB</v>
      </c>
      <c r="W7" t="s">
        <v>1785</v>
      </c>
    </row>
    <row r="8" spans="1:23">
      <c r="A8" s="4">
        <v>2020</v>
      </c>
      <c r="B8">
        <v>1</v>
      </c>
      <c r="C8">
        <v>7</v>
      </c>
      <c r="D8">
        <v>7</v>
      </c>
      <c r="E8" t="s">
        <v>50</v>
      </c>
      <c r="F8" t="s">
        <v>1123</v>
      </c>
      <c r="G8" t="s">
        <v>5</v>
      </c>
      <c r="H8">
        <v>1.3</v>
      </c>
      <c r="I8">
        <v>264</v>
      </c>
      <c r="J8">
        <v>998</v>
      </c>
      <c r="K8">
        <v>14</v>
      </c>
      <c r="L8">
        <v>0.26600000000000001</v>
      </c>
      <c r="M8">
        <v>0.68500000000000005</v>
      </c>
      <c r="T8" t="s">
        <v>34</v>
      </c>
      <c r="U8">
        <f t="shared" si="0"/>
        <v>0</v>
      </c>
      <c r="V8" t="str">
        <f t="shared" si="1"/>
        <v>MLB</v>
      </c>
      <c r="W8" t="s">
        <v>1786</v>
      </c>
    </row>
    <row r="9" spans="1:23">
      <c r="A9" s="4">
        <v>2020</v>
      </c>
      <c r="B9">
        <v>1</v>
      </c>
      <c r="C9">
        <v>8</v>
      </c>
      <c r="D9">
        <v>8</v>
      </c>
      <c r="E9" t="s">
        <v>83</v>
      </c>
      <c r="F9" t="s">
        <v>1124</v>
      </c>
      <c r="G9" t="s">
        <v>2</v>
      </c>
      <c r="H9">
        <v>-0.1</v>
      </c>
      <c r="I9">
        <v>70</v>
      </c>
      <c r="J9">
        <v>197</v>
      </c>
      <c r="K9">
        <v>3</v>
      </c>
      <c r="L9">
        <v>0.223</v>
      </c>
      <c r="M9">
        <v>0.57199999999999995</v>
      </c>
      <c r="T9" t="s">
        <v>52</v>
      </c>
      <c r="U9">
        <f t="shared" si="0"/>
        <v>0</v>
      </c>
      <c r="V9" t="str">
        <f t="shared" si="1"/>
        <v>MLB</v>
      </c>
      <c r="W9" t="s">
        <v>1787</v>
      </c>
    </row>
    <row r="10" spans="1:23">
      <c r="A10" s="4">
        <v>2020</v>
      </c>
      <c r="B10">
        <v>1</v>
      </c>
      <c r="C10">
        <v>9</v>
      </c>
      <c r="D10">
        <v>9</v>
      </c>
      <c r="E10" t="s">
        <v>37</v>
      </c>
      <c r="F10" t="s">
        <v>1125</v>
      </c>
      <c r="G10" t="s">
        <v>2</v>
      </c>
      <c r="H10">
        <v>-0.3</v>
      </c>
      <c r="I10">
        <v>12</v>
      </c>
      <c r="J10">
        <v>34</v>
      </c>
      <c r="K10">
        <v>1</v>
      </c>
      <c r="L10">
        <v>0.11799999999999999</v>
      </c>
      <c r="M10">
        <v>0.42399999999999999</v>
      </c>
      <c r="T10" t="s">
        <v>52</v>
      </c>
      <c r="U10">
        <f t="shared" si="0"/>
        <v>1</v>
      </c>
      <c r="V10" t="str">
        <f t="shared" si="1"/>
        <v>MLB</v>
      </c>
      <c r="W10" t="s">
        <v>1788</v>
      </c>
    </row>
    <row r="11" spans="1:23">
      <c r="A11" s="4">
        <v>2020</v>
      </c>
      <c r="B11">
        <v>1</v>
      </c>
      <c r="C11">
        <v>10</v>
      </c>
      <c r="D11">
        <v>10</v>
      </c>
      <c r="E11" t="s">
        <v>48</v>
      </c>
      <c r="F11" t="s">
        <v>1126</v>
      </c>
      <c r="G11" t="s">
        <v>1</v>
      </c>
      <c r="H11">
        <v>5</v>
      </c>
      <c r="I11">
        <v>1</v>
      </c>
      <c r="J11">
        <v>1</v>
      </c>
      <c r="K11">
        <v>0</v>
      </c>
      <c r="L11">
        <v>0</v>
      </c>
      <c r="M11">
        <v>0.5</v>
      </c>
      <c r="N11">
        <v>145</v>
      </c>
      <c r="O11">
        <v>22</v>
      </c>
      <c r="P11">
        <v>35</v>
      </c>
      <c r="Q11">
        <v>4.7300000000000004</v>
      </c>
      <c r="R11">
        <v>1.35</v>
      </c>
      <c r="S11">
        <v>3</v>
      </c>
      <c r="T11" t="s">
        <v>34</v>
      </c>
      <c r="U11">
        <f t="shared" si="0"/>
        <v>0</v>
      </c>
      <c r="V11" t="str">
        <f t="shared" si="1"/>
        <v>MLB</v>
      </c>
      <c r="W11" t="s">
        <v>1789</v>
      </c>
    </row>
    <row r="12" spans="1:23">
      <c r="A12" s="4">
        <v>2020</v>
      </c>
      <c r="B12">
        <v>1</v>
      </c>
      <c r="C12">
        <v>11</v>
      </c>
      <c r="D12">
        <v>11</v>
      </c>
      <c r="E12" t="s">
        <v>41</v>
      </c>
      <c r="F12" t="s">
        <v>1127</v>
      </c>
      <c r="G12" t="s">
        <v>1</v>
      </c>
      <c r="H12">
        <v>11.4</v>
      </c>
      <c r="I12">
        <v>2</v>
      </c>
      <c r="J12">
        <v>0</v>
      </c>
      <c r="K12">
        <v>0</v>
      </c>
      <c r="N12">
        <v>142</v>
      </c>
      <c r="O12">
        <v>30</v>
      </c>
      <c r="P12">
        <v>27</v>
      </c>
      <c r="Q12">
        <v>3.17</v>
      </c>
      <c r="R12">
        <v>1.1200000000000001</v>
      </c>
      <c r="S12">
        <v>0</v>
      </c>
      <c r="T12" t="s">
        <v>34</v>
      </c>
      <c r="U12">
        <f t="shared" si="0"/>
        <v>0</v>
      </c>
      <c r="V12" t="str">
        <f t="shared" si="1"/>
        <v>MLB</v>
      </c>
      <c r="W12" t="s">
        <v>1790</v>
      </c>
    </row>
    <row r="13" spans="1:23">
      <c r="A13" s="4">
        <v>2020</v>
      </c>
      <c r="B13">
        <v>1</v>
      </c>
      <c r="C13">
        <v>12</v>
      </c>
      <c r="D13">
        <v>12</v>
      </c>
      <c r="E13" t="s">
        <v>35</v>
      </c>
      <c r="F13" t="s">
        <v>1128</v>
      </c>
      <c r="G13" t="s">
        <v>2</v>
      </c>
      <c r="T13" t="s">
        <v>52</v>
      </c>
      <c r="U13">
        <f t="shared" si="0"/>
        <v>1</v>
      </c>
      <c r="V13" t="s">
        <v>13</v>
      </c>
      <c r="W13">
        <v>-9999</v>
      </c>
    </row>
    <row r="14" spans="1:23">
      <c r="A14" s="4">
        <v>2020</v>
      </c>
      <c r="B14">
        <v>1</v>
      </c>
      <c r="C14">
        <v>13</v>
      </c>
      <c r="D14">
        <v>13</v>
      </c>
      <c r="E14" t="s">
        <v>59</v>
      </c>
      <c r="F14" t="s">
        <v>1129</v>
      </c>
      <c r="G14" t="s">
        <v>6</v>
      </c>
      <c r="H14">
        <v>3.4</v>
      </c>
      <c r="I14">
        <v>385</v>
      </c>
      <c r="J14">
        <v>1223</v>
      </c>
      <c r="K14">
        <v>22</v>
      </c>
      <c r="L14">
        <v>0.223</v>
      </c>
      <c r="M14">
        <v>0.60799999999999998</v>
      </c>
      <c r="T14" t="s">
        <v>34</v>
      </c>
      <c r="U14">
        <f t="shared" si="0"/>
        <v>1</v>
      </c>
      <c r="V14" t="str">
        <f t="shared" si="1"/>
        <v>MLB</v>
      </c>
      <c r="W14" t="s">
        <v>1791</v>
      </c>
    </row>
    <row r="15" spans="1:23">
      <c r="A15" s="4">
        <v>2020</v>
      </c>
      <c r="B15">
        <v>1</v>
      </c>
      <c r="C15">
        <v>14</v>
      </c>
      <c r="D15">
        <v>14</v>
      </c>
      <c r="E15" t="s">
        <v>93</v>
      </c>
      <c r="F15" t="s">
        <v>1130</v>
      </c>
      <c r="G15" t="s">
        <v>0</v>
      </c>
      <c r="H15">
        <v>-0.8</v>
      </c>
      <c r="I15">
        <v>25</v>
      </c>
      <c r="J15">
        <v>62</v>
      </c>
      <c r="K15">
        <v>1</v>
      </c>
      <c r="L15">
        <v>8.1000000000000003E-2</v>
      </c>
      <c r="M15">
        <v>0.27100000000000002</v>
      </c>
      <c r="T15" t="s">
        <v>34</v>
      </c>
      <c r="U15">
        <f t="shared" si="0"/>
        <v>1</v>
      </c>
      <c r="V15" t="str">
        <f t="shared" si="1"/>
        <v>MLB</v>
      </c>
      <c r="W15" t="s">
        <v>1792</v>
      </c>
    </row>
    <row r="16" spans="1:23">
      <c r="A16" s="4">
        <v>2020</v>
      </c>
      <c r="B16">
        <v>1</v>
      </c>
      <c r="C16">
        <v>15</v>
      </c>
      <c r="D16">
        <v>15</v>
      </c>
      <c r="E16" t="s">
        <v>87</v>
      </c>
      <c r="F16" t="s">
        <v>1131</v>
      </c>
      <c r="G16" t="s">
        <v>1</v>
      </c>
      <c r="H16">
        <v>0.3</v>
      </c>
      <c r="I16">
        <v>0</v>
      </c>
      <c r="J16">
        <v>0</v>
      </c>
      <c r="K16">
        <v>0</v>
      </c>
      <c r="N16">
        <v>14</v>
      </c>
      <c r="O16">
        <v>4</v>
      </c>
      <c r="P16">
        <v>6</v>
      </c>
      <c r="Q16">
        <v>5.46</v>
      </c>
      <c r="R16">
        <v>1.53</v>
      </c>
      <c r="S16">
        <v>0</v>
      </c>
      <c r="T16" t="s">
        <v>52</v>
      </c>
      <c r="U16">
        <f t="shared" si="0"/>
        <v>0</v>
      </c>
      <c r="V16" t="str">
        <f t="shared" si="1"/>
        <v>MLB</v>
      </c>
      <c r="W16" t="s">
        <v>1793</v>
      </c>
    </row>
    <row r="17" spans="1:23">
      <c r="A17" s="4">
        <v>2020</v>
      </c>
      <c r="B17">
        <v>1</v>
      </c>
      <c r="C17">
        <v>16</v>
      </c>
      <c r="D17">
        <v>16</v>
      </c>
      <c r="E17" t="s">
        <v>61</v>
      </c>
      <c r="F17" t="s">
        <v>1132</v>
      </c>
      <c r="G17" t="s">
        <v>5</v>
      </c>
      <c r="T17" t="s">
        <v>52</v>
      </c>
      <c r="U17">
        <f t="shared" si="0"/>
        <v>1</v>
      </c>
      <c r="V17" t="s">
        <v>12</v>
      </c>
      <c r="W17">
        <v>-9999</v>
      </c>
    </row>
    <row r="18" spans="1:23">
      <c r="A18" s="4">
        <v>2020</v>
      </c>
      <c r="B18">
        <v>1</v>
      </c>
      <c r="C18">
        <v>17</v>
      </c>
      <c r="D18">
        <v>17</v>
      </c>
      <c r="E18" t="s">
        <v>57</v>
      </c>
      <c r="F18" t="s">
        <v>1133</v>
      </c>
      <c r="G18" t="s">
        <v>0</v>
      </c>
      <c r="H18">
        <v>-0.1</v>
      </c>
      <c r="I18">
        <v>59</v>
      </c>
      <c r="J18">
        <v>179</v>
      </c>
      <c r="K18">
        <v>4</v>
      </c>
      <c r="L18">
        <v>0.218</v>
      </c>
      <c r="M18">
        <v>0.59799999999999998</v>
      </c>
      <c r="T18" t="s">
        <v>52</v>
      </c>
      <c r="U18">
        <f t="shared" si="0"/>
        <v>0</v>
      </c>
      <c r="V18" t="str">
        <f t="shared" si="1"/>
        <v>MLB</v>
      </c>
      <c r="W18" t="s">
        <v>1794</v>
      </c>
    </row>
    <row r="19" spans="1:23">
      <c r="A19" s="4">
        <v>2020</v>
      </c>
      <c r="B19">
        <v>1</v>
      </c>
      <c r="C19">
        <v>18</v>
      </c>
      <c r="D19">
        <v>18</v>
      </c>
      <c r="E19" t="s">
        <v>91</v>
      </c>
      <c r="F19" t="s">
        <v>1134</v>
      </c>
      <c r="G19" t="s">
        <v>1</v>
      </c>
      <c r="H19">
        <v>1.2</v>
      </c>
      <c r="I19">
        <v>3</v>
      </c>
      <c r="J19">
        <v>0</v>
      </c>
      <c r="K19">
        <v>0</v>
      </c>
      <c r="N19">
        <v>67</v>
      </c>
      <c r="O19">
        <v>3</v>
      </c>
      <c r="P19">
        <v>3</v>
      </c>
      <c r="Q19">
        <v>3.69</v>
      </c>
      <c r="R19">
        <v>1.34</v>
      </c>
      <c r="S19">
        <v>1</v>
      </c>
      <c r="T19" t="s">
        <v>34</v>
      </c>
      <c r="U19">
        <f t="shared" si="0"/>
        <v>1</v>
      </c>
      <c r="V19" t="str">
        <f t="shared" si="1"/>
        <v>MLB</v>
      </c>
      <c r="W19" t="s">
        <v>1795</v>
      </c>
    </row>
    <row r="20" spans="1:23">
      <c r="A20" s="4">
        <v>2020</v>
      </c>
      <c r="B20">
        <v>1</v>
      </c>
      <c r="C20">
        <v>19</v>
      </c>
      <c r="D20">
        <v>19</v>
      </c>
      <c r="E20" t="s">
        <v>71</v>
      </c>
      <c r="F20" t="s">
        <v>1135</v>
      </c>
      <c r="G20" t="s">
        <v>2</v>
      </c>
      <c r="H20">
        <v>10.3</v>
      </c>
      <c r="I20">
        <v>336</v>
      </c>
      <c r="J20">
        <v>1134</v>
      </c>
      <c r="K20">
        <v>45</v>
      </c>
      <c r="L20">
        <v>0.23899999999999999</v>
      </c>
      <c r="M20">
        <v>0.71599999999999997</v>
      </c>
      <c r="T20" t="s">
        <v>52</v>
      </c>
      <c r="U20">
        <f t="shared" si="0"/>
        <v>0</v>
      </c>
      <c r="V20" t="str">
        <f t="shared" si="1"/>
        <v>MLB</v>
      </c>
      <c r="W20" t="s">
        <v>1796</v>
      </c>
    </row>
    <row r="21" spans="1:23">
      <c r="A21" s="4">
        <v>2020</v>
      </c>
      <c r="B21">
        <v>1</v>
      </c>
      <c r="C21">
        <v>20</v>
      </c>
      <c r="D21">
        <v>20</v>
      </c>
      <c r="E21" t="s">
        <v>67</v>
      </c>
      <c r="F21" t="s">
        <v>1136</v>
      </c>
      <c r="G21" t="s">
        <v>2</v>
      </c>
      <c r="H21">
        <v>3.5</v>
      </c>
      <c r="I21">
        <v>178</v>
      </c>
      <c r="J21">
        <v>502</v>
      </c>
      <c r="K21">
        <v>14</v>
      </c>
      <c r="L21">
        <v>0.24299999999999999</v>
      </c>
      <c r="M21">
        <v>0.73799999999999999</v>
      </c>
      <c r="T21" t="s">
        <v>34</v>
      </c>
      <c r="U21">
        <f t="shared" si="0"/>
        <v>1</v>
      </c>
      <c r="V21" t="str">
        <f t="shared" si="1"/>
        <v>MLB</v>
      </c>
      <c r="W21" t="s">
        <v>1797</v>
      </c>
    </row>
    <row r="22" spans="1:23">
      <c r="A22" s="4">
        <v>2020</v>
      </c>
      <c r="B22">
        <v>1</v>
      </c>
      <c r="C22">
        <v>21</v>
      </c>
      <c r="D22">
        <v>21</v>
      </c>
      <c r="E22" t="s">
        <v>46</v>
      </c>
      <c r="F22" t="s">
        <v>1137</v>
      </c>
      <c r="G22" t="s">
        <v>11</v>
      </c>
      <c r="H22">
        <v>-0.2</v>
      </c>
      <c r="I22">
        <v>320</v>
      </c>
      <c r="J22">
        <v>1102</v>
      </c>
      <c r="K22">
        <v>38</v>
      </c>
      <c r="L22">
        <v>0.247</v>
      </c>
      <c r="M22">
        <v>0.71499999999999997</v>
      </c>
      <c r="T22" t="s">
        <v>52</v>
      </c>
      <c r="U22">
        <f t="shared" si="0"/>
        <v>1</v>
      </c>
      <c r="V22" t="str">
        <f t="shared" si="1"/>
        <v>MLB</v>
      </c>
      <c r="W22" t="s">
        <v>1798</v>
      </c>
    </row>
    <row r="23" spans="1:23">
      <c r="A23" s="4">
        <v>2020</v>
      </c>
      <c r="B23">
        <v>1</v>
      </c>
      <c r="C23">
        <v>22</v>
      </c>
      <c r="D23">
        <v>22</v>
      </c>
      <c r="E23" t="s">
        <v>53</v>
      </c>
      <c r="F23" t="s">
        <v>1138</v>
      </c>
      <c r="G23" t="s">
        <v>1</v>
      </c>
      <c r="H23">
        <v>0</v>
      </c>
      <c r="I23">
        <v>1</v>
      </c>
      <c r="J23">
        <v>0</v>
      </c>
      <c r="K23">
        <v>0</v>
      </c>
      <c r="N23">
        <v>20</v>
      </c>
      <c r="O23">
        <v>4</v>
      </c>
      <c r="P23">
        <v>4</v>
      </c>
      <c r="Q23">
        <v>4.63</v>
      </c>
      <c r="R23">
        <v>1.54</v>
      </c>
      <c r="S23">
        <v>0</v>
      </c>
      <c r="T23" t="s">
        <v>34</v>
      </c>
      <c r="U23">
        <f t="shared" si="0"/>
        <v>0</v>
      </c>
      <c r="V23" t="str">
        <f t="shared" si="1"/>
        <v>MLB</v>
      </c>
      <c r="W23" t="s">
        <v>1799</v>
      </c>
    </row>
    <row r="24" spans="1:23">
      <c r="A24" s="4">
        <v>2020</v>
      </c>
      <c r="B24">
        <v>1</v>
      </c>
      <c r="C24">
        <v>23</v>
      </c>
      <c r="D24">
        <v>23</v>
      </c>
      <c r="E24" t="s">
        <v>206</v>
      </c>
      <c r="F24" t="s">
        <v>1139</v>
      </c>
      <c r="G24" t="s">
        <v>5</v>
      </c>
      <c r="T24" t="s">
        <v>52</v>
      </c>
      <c r="U24">
        <f t="shared" si="0"/>
        <v>1</v>
      </c>
      <c r="V24" t="s">
        <v>13</v>
      </c>
      <c r="W24">
        <v>-9999</v>
      </c>
    </row>
    <row r="25" spans="1:23">
      <c r="A25" s="4">
        <v>2020</v>
      </c>
      <c r="B25">
        <v>1</v>
      </c>
      <c r="C25">
        <v>24</v>
      </c>
      <c r="D25">
        <v>24</v>
      </c>
      <c r="E25" t="s">
        <v>69</v>
      </c>
      <c r="F25" t="s">
        <v>1140</v>
      </c>
      <c r="G25" t="s">
        <v>1</v>
      </c>
      <c r="T25" t="s">
        <v>52</v>
      </c>
      <c r="U25">
        <f t="shared" si="0"/>
        <v>0</v>
      </c>
      <c r="V25" t="s">
        <v>1114</v>
      </c>
      <c r="W25">
        <v>-9999</v>
      </c>
    </row>
    <row r="26" spans="1:23">
      <c r="A26" s="4">
        <v>2020</v>
      </c>
      <c r="B26">
        <v>1</v>
      </c>
      <c r="C26">
        <v>25</v>
      </c>
      <c r="D26">
        <v>25</v>
      </c>
      <c r="E26" t="s">
        <v>81</v>
      </c>
      <c r="F26" t="s">
        <v>1141</v>
      </c>
      <c r="G26" t="s">
        <v>1</v>
      </c>
      <c r="H26">
        <v>0.4</v>
      </c>
      <c r="I26">
        <v>0</v>
      </c>
      <c r="J26">
        <v>0</v>
      </c>
      <c r="K26">
        <v>0</v>
      </c>
      <c r="N26">
        <v>66</v>
      </c>
      <c r="O26">
        <v>6</v>
      </c>
      <c r="P26">
        <v>8</v>
      </c>
      <c r="Q26">
        <v>5.12</v>
      </c>
      <c r="R26">
        <v>1.52</v>
      </c>
      <c r="S26">
        <v>0</v>
      </c>
      <c r="T26" t="s">
        <v>34</v>
      </c>
      <c r="U26">
        <f t="shared" si="0"/>
        <v>0</v>
      </c>
      <c r="V26" t="str">
        <f t="shared" si="1"/>
        <v>MLB</v>
      </c>
      <c r="W26" t="s">
        <v>1800</v>
      </c>
    </row>
    <row r="27" spans="1:23">
      <c r="A27" s="4">
        <v>2020</v>
      </c>
      <c r="B27">
        <v>1</v>
      </c>
      <c r="C27">
        <v>26</v>
      </c>
      <c r="D27">
        <v>26</v>
      </c>
      <c r="E27" t="s">
        <v>39</v>
      </c>
      <c r="F27" t="s">
        <v>1142</v>
      </c>
      <c r="G27" t="s">
        <v>6</v>
      </c>
      <c r="H27">
        <v>3.8</v>
      </c>
      <c r="I27">
        <v>303</v>
      </c>
      <c r="J27">
        <v>1024</v>
      </c>
      <c r="K27">
        <v>42</v>
      </c>
      <c r="L27">
        <v>0.24299999999999999</v>
      </c>
      <c r="M27">
        <v>0.74299999999999999</v>
      </c>
      <c r="T27" t="s">
        <v>52</v>
      </c>
      <c r="U27">
        <f t="shared" si="0"/>
        <v>0</v>
      </c>
      <c r="V27" t="str">
        <f t="shared" si="1"/>
        <v>MLB</v>
      </c>
      <c r="W27" t="s">
        <v>1801</v>
      </c>
    </row>
    <row r="28" spans="1:23">
      <c r="A28" s="4">
        <v>2020</v>
      </c>
      <c r="B28">
        <v>1</v>
      </c>
      <c r="C28">
        <v>27</v>
      </c>
      <c r="D28">
        <v>27</v>
      </c>
      <c r="E28" t="s">
        <v>75</v>
      </c>
      <c r="F28" t="s">
        <v>1143</v>
      </c>
      <c r="G28" t="s">
        <v>3</v>
      </c>
      <c r="T28" t="s">
        <v>34</v>
      </c>
      <c r="U28">
        <f t="shared" si="0"/>
        <v>0</v>
      </c>
      <c r="V28" t="s">
        <v>12</v>
      </c>
      <c r="W28">
        <v>-9999</v>
      </c>
    </row>
    <row r="29" spans="1:23">
      <c r="A29" s="4">
        <v>2020</v>
      </c>
      <c r="B29">
        <v>1</v>
      </c>
      <c r="C29">
        <v>28</v>
      </c>
      <c r="D29">
        <v>28</v>
      </c>
      <c r="E29" t="s">
        <v>85</v>
      </c>
      <c r="F29" t="s">
        <v>1144</v>
      </c>
      <c r="G29" t="s">
        <v>6</v>
      </c>
      <c r="H29">
        <v>3</v>
      </c>
      <c r="I29">
        <v>293</v>
      </c>
      <c r="J29">
        <v>925</v>
      </c>
      <c r="K29">
        <v>41</v>
      </c>
      <c r="L29">
        <v>0.219</v>
      </c>
      <c r="M29">
        <v>0.70399999999999996</v>
      </c>
      <c r="T29" t="s">
        <v>34</v>
      </c>
      <c r="U29">
        <f t="shared" si="0"/>
        <v>0</v>
      </c>
      <c r="V29" t="str">
        <f t="shared" si="1"/>
        <v>MLB</v>
      </c>
      <c r="W29" t="s">
        <v>1802</v>
      </c>
    </row>
    <row r="30" spans="1:23">
      <c r="A30" s="4">
        <v>2020</v>
      </c>
      <c r="B30">
        <v>1</v>
      </c>
      <c r="C30">
        <v>29</v>
      </c>
      <c r="D30">
        <v>29</v>
      </c>
      <c r="E30" t="s">
        <v>79</v>
      </c>
      <c r="F30" t="s">
        <v>1145</v>
      </c>
      <c r="G30" t="s">
        <v>1</v>
      </c>
      <c r="H30">
        <v>-0.2</v>
      </c>
      <c r="I30">
        <v>0</v>
      </c>
      <c r="J30">
        <v>0</v>
      </c>
      <c r="K30">
        <v>0</v>
      </c>
      <c r="N30">
        <v>37</v>
      </c>
      <c r="O30">
        <v>13</v>
      </c>
      <c r="P30">
        <v>8</v>
      </c>
      <c r="Q30">
        <v>5.44</v>
      </c>
      <c r="R30">
        <v>1.34</v>
      </c>
      <c r="S30">
        <v>0</v>
      </c>
      <c r="T30" t="s">
        <v>34</v>
      </c>
      <c r="U30">
        <f t="shared" si="0"/>
        <v>0</v>
      </c>
      <c r="V30" t="str">
        <f t="shared" si="1"/>
        <v>MLB</v>
      </c>
      <c r="W30" t="s">
        <v>1803</v>
      </c>
    </row>
    <row r="31" spans="1:23">
      <c r="A31" s="4">
        <v>2020</v>
      </c>
      <c r="B31">
        <v>1</v>
      </c>
      <c r="C31">
        <v>30</v>
      </c>
      <c r="D31">
        <v>30</v>
      </c>
      <c r="E31" t="s">
        <v>77</v>
      </c>
      <c r="F31" t="s">
        <v>1146</v>
      </c>
      <c r="G31" t="s">
        <v>5</v>
      </c>
      <c r="H31">
        <v>5.0999999999999996</v>
      </c>
      <c r="I31">
        <v>260</v>
      </c>
      <c r="J31">
        <v>952</v>
      </c>
      <c r="K31">
        <v>38</v>
      </c>
      <c r="L31">
        <v>0.26400000000000001</v>
      </c>
      <c r="M31">
        <v>0.76800000000000002</v>
      </c>
      <c r="T31" t="s">
        <v>34</v>
      </c>
      <c r="U31">
        <f t="shared" si="0"/>
        <v>0</v>
      </c>
      <c r="V31" t="str">
        <f t="shared" si="1"/>
        <v>MLB</v>
      </c>
      <c r="W31" t="s">
        <v>1804</v>
      </c>
    </row>
    <row r="32" spans="1:23">
      <c r="A32" s="4">
        <v>2020</v>
      </c>
      <c r="B32">
        <v>1</v>
      </c>
      <c r="C32">
        <v>31</v>
      </c>
      <c r="D32">
        <v>31</v>
      </c>
      <c r="E32" t="s">
        <v>50</v>
      </c>
      <c r="F32" t="s">
        <v>1147</v>
      </c>
      <c r="G32" t="s">
        <v>1</v>
      </c>
      <c r="H32">
        <v>3.1</v>
      </c>
      <c r="I32">
        <v>0</v>
      </c>
      <c r="J32">
        <v>0</v>
      </c>
      <c r="K32">
        <v>0</v>
      </c>
      <c r="N32">
        <v>117</v>
      </c>
      <c r="O32">
        <v>15</v>
      </c>
      <c r="P32">
        <v>19</v>
      </c>
      <c r="Q32">
        <v>3.47</v>
      </c>
      <c r="R32">
        <v>1.3</v>
      </c>
      <c r="S32">
        <v>1</v>
      </c>
      <c r="T32" t="s">
        <v>34</v>
      </c>
      <c r="U32">
        <f t="shared" si="0"/>
        <v>1</v>
      </c>
      <c r="V32" t="str">
        <f t="shared" si="1"/>
        <v>MLB</v>
      </c>
      <c r="W32" t="s">
        <v>1805</v>
      </c>
    </row>
    <row r="33" spans="1:23">
      <c r="A33" s="4">
        <v>2020</v>
      </c>
      <c r="B33">
        <v>1</v>
      </c>
      <c r="C33">
        <v>32</v>
      </c>
      <c r="D33">
        <v>32</v>
      </c>
      <c r="E33" t="s">
        <v>43</v>
      </c>
      <c r="F33" t="s">
        <v>1148</v>
      </c>
      <c r="G33" t="s">
        <v>5</v>
      </c>
      <c r="H33">
        <v>0.6</v>
      </c>
      <c r="I33">
        <v>160</v>
      </c>
      <c r="J33">
        <v>423</v>
      </c>
      <c r="K33">
        <v>5</v>
      </c>
      <c r="L33">
        <v>0.22500000000000001</v>
      </c>
      <c r="M33">
        <v>0.63500000000000001</v>
      </c>
      <c r="N33">
        <v>1</v>
      </c>
      <c r="O33">
        <v>0</v>
      </c>
      <c r="P33">
        <v>0</v>
      </c>
      <c r="Q33">
        <v>0</v>
      </c>
      <c r="R33">
        <v>1</v>
      </c>
      <c r="S33">
        <v>0</v>
      </c>
      <c r="T33" t="s">
        <v>34</v>
      </c>
      <c r="U33">
        <f t="shared" si="0"/>
        <v>1</v>
      </c>
      <c r="V33" t="str">
        <f t="shared" si="1"/>
        <v>MLB</v>
      </c>
      <c r="W33" t="s">
        <v>1806</v>
      </c>
    </row>
    <row r="34" spans="1:23">
      <c r="A34" s="4">
        <v>2020</v>
      </c>
      <c r="B34">
        <v>1</v>
      </c>
      <c r="C34">
        <v>33</v>
      </c>
      <c r="D34">
        <v>33</v>
      </c>
      <c r="E34" t="s">
        <v>91</v>
      </c>
      <c r="F34" t="s">
        <v>1149</v>
      </c>
      <c r="G34" t="s">
        <v>1</v>
      </c>
      <c r="H34">
        <v>-0.1</v>
      </c>
      <c r="I34">
        <v>0</v>
      </c>
      <c r="J34">
        <v>0</v>
      </c>
      <c r="K34">
        <v>0</v>
      </c>
      <c r="N34">
        <v>59</v>
      </c>
      <c r="O34">
        <v>11</v>
      </c>
      <c r="P34">
        <v>19</v>
      </c>
      <c r="Q34">
        <v>5.16</v>
      </c>
      <c r="R34">
        <v>1.31</v>
      </c>
      <c r="S34">
        <v>0</v>
      </c>
      <c r="T34" t="s">
        <v>34</v>
      </c>
      <c r="U34">
        <f t="shared" si="0"/>
        <v>0</v>
      </c>
      <c r="V34" t="str">
        <f t="shared" si="1"/>
        <v>MLB</v>
      </c>
      <c r="W34" t="s">
        <v>1807</v>
      </c>
    </row>
    <row r="35" spans="1:23">
      <c r="A35" s="4">
        <v>2020</v>
      </c>
      <c r="B35">
        <v>1</v>
      </c>
      <c r="C35">
        <v>34</v>
      </c>
      <c r="D35">
        <v>34</v>
      </c>
      <c r="E35" t="s">
        <v>83</v>
      </c>
      <c r="F35" t="s">
        <v>1150</v>
      </c>
      <c r="G35" t="s">
        <v>1</v>
      </c>
      <c r="T35" t="s">
        <v>52</v>
      </c>
      <c r="U35">
        <f t="shared" si="0"/>
        <v>0</v>
      </c>
      <c r="V35" t="s">
        <v>14</v>
      </c>
      <c r="W35">
        <v>-9999</v>
      </c>
    </row>
    <row r="36" spans="1:23">
      <c r="A36" s="4">
        <v>2020</v>
      </c>
      <c r="B36">
        <v>1</v>
      </c>
      <c r="C36">
        <v>35</v>
      </c>
      <c r="D36">
        <v>35</v>
      </c>
      <c r="E36" t="s">
        <v>37</v>
      </c>
      <c r="F36" t="s">
        <v>1151</v>
      </c>
      <c r="G36" t="s">
        <v>6</v>
      </c>
      <c r="H36">
        <v>0.2</v>
      </c>
      <c r="I36">
        <v>30</v>
      </c>
      <c r="J36">
        <v>85</v>
      </c>
      <c r="K36">
        <v>4</v>
      </c>
      <c r="L36">
        <v>0.16500000000000001</v>
      </c>
      <c r="M36">
        <v>0.61299999999999999</v>
      </c>
      <c r="T36" t="s">
        <v>52</v>
      </c>
      <c r="U36">
        <f t="shared" si="0"/>
        <v>0</v>
      </c>
      <c r="V36" t="str">
        <f t="shared" si="1"/>
        <v>MLB</v>
      </c>
      <c r="W36" t="s">
        <v>1808</v>
      </c>
    </row>
    <row r="37" spans="1:23">
      <c r="A37" s="4">
        <v>2020</v>
      </c>
      <c r="B37">
        <v>1</v>
      </c>
      <c r="C37">
        <v>36</v>
      </c>
      <c r="D37">
        <v>36</v>
      </c>
      <c r="E37" t="s">
        <v>206</v>
      </c>
      <c r="F37" t="s">
        <v>1152</v>
      </c>
      <c r="G37" t="s">
        <v>1</v>
      </c>
      <c r="T37" t="s">
        <v>34</v>
      </c>
      <c r="U37">
        <f t="shared" si="0"/>
        <v>0</v>
      </c>
      <c r="V37" t="s">
        <v>12</v>
      </c>
      <c r="W37">
        <v>-9999</v>
      </c>
    </row>
    <row r="38" spans="1:23">
      <c r="A38">
        <v>2020</v>
      </c>
      <c r="B38">
        <v>1</v>
      </c>
      <c r="C38">
        <v>37</v>
      </c>
      <c r="D38">
        <v>37</v>
      </c>
      <c r="E38" t="s">
        <v>69</v>
      </c>
      <c r="F38" t="s">
        <v>1153</v>
      </c>
      <c r="G38" t="s">
        <v>5</v>
      </c>
      <c r="H38">
        <v>-0.4</v>
      </c>
      <c r="I38">
        <v>83</v>
      </c>
      <c r="J38">
        <v>188</v>
      </c>
      <c r="K38">
        <v>0</v>
      </c>
      <c r="L38">
        <v>0.20200000000000001</v>
      </c>
      <c r="M38">
        <v>0.52900000000000003</v>
      </c>
      <c r="T38" t="s">
        <v>34</v>
      </c>
      <c r="U38">
        <f t="shared" si="0"/>
        <v>0</v>
      </c>
      <c r="V38" t="str">
        <f t="shared" si="1"/>
        <v>MLB</v>
      </c>
      <c r="W38" t="s">
        <v>1809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444D-CFAF-4E62-8EAC-4F82DC9B649C}">
  <dimension ref="A1:W39"/>
  <sheetViews>
    <sheetView zoomScaleNormal="100" workbookViewId="0">
      <pane ySplit="1" topLeftCell="A2" activePane="bottomLeft" state="frozen"/>
      <selection pane="bottomLeft" activeCell="W1" sqref="W1"/>
    </sheetView>
  </sheetViews>
  <sheetFormatPr defaultColWidth="5.54296875" defaultRowHeight="14.5"/>
  <cols>
    <col min="1" max="1" width="4.81640625" bestFit="1" customWidth="1"/>
    <col min="2" max="2" width="3.90625" bestFit="1" customWidth="1"/>
    <col min="3" max="3" width="6" bestFit="1" customWidth="1"/>
    <col min="4" max="4" width="5.90625" bestFit="1" customWidth="1"/>
    <col min="5" max="5" width="13" bestFit="1" customWidth="1"/>
    <col min="6" max="6" width="24.26953125" bestFit="1" customWidth="1"/>
    <col min="7" max="7" width="3.81640625" bestFit="1" customWidth="1"/>
    <col min="8" max="8" width="4.6328125" style="3" bestFit="1" customWidth="1"/>
    <col min="9" max="9" width="3.81640625" bestFit="1" customWidth="1"/>
    <col min="10" max="10" width="4.81640625" bestFit="1" customWidth="1"/>
    <col min="11" max="11" width="3.1796875" bestFit="1" customWidth="1"/>
    <col min="12" max="13" width="5.81640625" bestFit="1" customWidth="1"/>
    <col min="14" max="16" width="2.81640625" bestFit="1" customWidth="1"/>
    <col min="17" max="17" width="5.81640625" bestFit="1" customWidth="1"/>
    <col min="18" max="18" width="5.26953125" bestFit="1" customWidth="1"/>
    <col min="19" max="19" width="2.90625" bestFit="1" customWidth="1"/>
    <col min="20" max="20" width="4.54296875" bestFit="1" customWidth="1"/>
    <col min="21" max="21" width="4" bestFit="1" customWidth="1"/>
    <col min="22" max="22" width="8.7265625"/>
    <col min="23" max="23" width="10.7265625" bestFit="1" customWidth="1"/>
  </cols>
  <sheetData>
    <row r="1" spans="1:23">
      <c r="A1" s="4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s="3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 s="4">
        <v>2021</v>
      </c>
      <c r="B2">
        <v>1</v>
      </c>
      <c r="C2">
        <v>1</v>
      </c>
      <c r="D2">
        <v>1</v>
      </c>
      <c r="E2" t="s">
        <v>50</v>
      </c>
      <c r="F2" t="s">
        <v>185</v>
      </c>
      <c r="G2" t="s">
        <v>6</v>
      </c>
      <c r="H2" s="3">
        <v>-1.4</v>
      </c>
      <c r="I2">
        <v>218</v>
      </c>
      <c r="J2">
        <v>667</v>
      </c>
      <c r="K2">
        <v>17</v>
      </c>
      <c r="L2">
        <v>0.17699999999999999</v>
      </c>
      <c r="M2">
        <v>0.55100000000000005</v>
      </c>
      <c r="T2" t="s">
        <v>34</v>
      </c>
      <c r="U2">
        <f>IF(ISNUMBER(SEARCH("HS",T2)),1,0)</f>
        <v>0</v>
      </c>
      <c r="V2" t="str">
        <f>IF(ISNUMBER(H2),"MLB","")</f>
        <v>MLB</v>
      </c>
      <c r="W2" t="s">
        <v>1810</v>
      </c>
    </row>
    <row r="3" spans="1:23">
      <c r="A3" s="4">
        <v>2021</v>
      </c>
      <c r="B3">
        <v>1</v>
      </c>
      <c r="C3">
        <v>2</v>
      </c>
      <c r="D3">
        <v>2</v>
      </c>
      <c r="E3" t="s">
        <v>93</v>
      </c>
      <c r="F3" t="s">
        <v>186</v>
      </c>
      <c r="G3" t="s">
        <v>1</v>
      </c>
      <c r="H3" s="3">
        <v>-1.3</v>
      </c>
      <c r="N3">
        <v>46</v>
      </c>
      <c r="O3">
        <v>11</v>
      </c>
      <c r="P3">
        <v>16</v>
      </c>
      <c r="Q3">
        <v>4.8099999999999996</v>
      </c>
      <c r="R3">
        <v>1.37</v>
      </c>
      <c r="S3">
        <v>0</v>
      </c>
      <c r="T3" t="s">
        <v>34</v>
      </c>
      <c r="U3">
        <f t="shared" ref="U3:U37" si="0">IF(ISNUMBER(SEARCH("HS",T3)),1,0)</f>
        <v>0</v>
      </c>
      <c r="V3" t="str">
        <f t="shared" ref="V3:V34" si="1">IF(ISNUMBER(H3),"MLB","")</f>
        <v>MLB</v>
      </c>
      <c r="W3" t="s">
        <v>1811</v>
      </c>
    </row>
    <row r="4" spans="1:23">
      <c r="A4" s="4">
        <v>2021</v>
      </c>
      <c r="B4">
        <v>1</v>
      </c>
      <c r="C4">
        <v>3</v>
      </c>
      <c r="D4">
        <v>3</v>
      </c>
      <c r="E4" t="s">
        <v>55</v>
      </c>
      <c r="F4" t="s">
        <v>187</v>
      </c>
      <c r="G4" t="s">
        <v>1</v>
      </c>
      <c r="H4" s="3">
        <v>0.6</v>
      </c>
      <c r="N4">
        <v>12</v>
      </c>
      <c r="O4">
        <v>4</v>
      </c>
      <c r="P4">
        <v>1</v>
      </c>
      <c r="Q4">
        <v>3.91</v>
      </c>
      <c r="R4">
        <v>1.42</v>
      </c>
      <c r="S4">
        <v>0</v>
      </c>
      <c r="T4" t="s">
        <v>52</v>
      </c>
      <c r="U4">
        <f t="shared" si="0"/>
        <v>1</v>
      </c>
      <c r="V4" t="str">
        <f t="shared" si="1"/>
        <v>MLB</v>
      </c>
      <c r="W4" t="s">
        <v>1812</v>
      </c>
    </row>
    <row r="5" spans="1:23">
      <c r="A5" s="4">
        <v>2021</v>
      </c>
      <c r="B5">
        <v>1</v>
      </c>
      <c r="C5">
        <v>4</v>
      </c>
      <c r="D5">
        <v>4</v>
      </c>
      <c r="E5" t="s">
        <v>57</v>
      </c>
      <c r="F5" t="s">
        <v>188</v>
      </c>
      <c r="G5" t="s">
        <v>5</v>
      </c>
      <c r="H5" s="3">
        <v>0.4</v>
      </c>
      <c r="I5">
        <v>81</v>
      </c>
      <c r="J5">
        <v>238</v>
      </c>
      <c r="K5">
        <v>5</v>
      </c>
      <c r="L5">
        <v>0.23100000000000001</v>
      </c>
      <c r="M5">
        <v>0.64700000000000002</v>
      </c>
      <c r="T5" t="s">
        <v>52</v>
      </c>
      <c r="U5">
        <f t="shared" si="0"/>
        <v>1</v>
      </c>
      <c r="V5" t="str">
        <f t="shared" si="1"/>
        <v>MLB</v>
      </c>
      <c r="W5" t="s">
        <v>1813</v>
      </c>
    </row>
    <row r="6" spans="1:23">
      <c r="A6" s="4">
        <v>2021</v>
      </c>
      <c r="B6">
        <v>1</v>
      </c>
      <c r="C6">
        <v>5</v>
      </c>
      <c r="D6">
        <v>5</v>
      </c>
      <c r="E6" t="s">
        <v>77</v>
      </c>
      <c r="F6" t="s">
        <v>189</v>
      </c>
      <c r="G6" t="s">
        <v>2</v>
      </c>
      <c r="H6" s="3">
        <v>2.9</v>
      </c>
      <c r="I6">
        <v>306</v>
      </c>
      <c r="J6">
        <v>963</v>
      </c>
      <c r="K6">
        <v>40</v>
      </c>
      <c r="L6">
        <v>0.21299999999999999</v>
      </c>
      <c r="M6">
        <v>0.68400000000000005</v>
      </c>
      <c r="T6" t="s">
        <v>34</v>
      </c>
      <c r="U6">
        <f t="shared" si="0"/>
        <v>0</v>
      </c>
      <c r="V6" t="str">
        <f t="shared" si="1"/>
        <v>MLB</v>
      </c>
      <c r="W6" t="s">
        <v>1814</v>
      </c>
    </row>
    <row r="7" spans="1:23">
      <c r="A7" s="4">
        <v>2021</v>
      </c>
      <c r="B7">
        <v>1</v>
      </c>
      <c r="C7">
        <v>6</v>
      </c>
      <c r="D7">
        <v>6</v>
      </c>
      <c r="E7" t="s">
        <v>91</v>
      </c>
      <c r="F7" t="s">
        <v>190</v>
      </c>
      <c r="G7" t="s">
        <v>5</v>
      </c>
      <c r="H7" s="3">
        <v>-0.3</v>
      </c>
      <c r="I7">
        <v>48</v>
      </c>
      <c r="J7">
        <v>115</v>
      </c>
      <c r="K7">
        <v>1</v>
      </c>
      <c r="L7">
        <v>0.191</v>
      </c>
      <c r="M7">
        <v>0.55300000000000005</v>
      </c>
      <c r="T7" t="s">
        <v>52</v>
      </c>
      <c r="U7">
        <f t="shared" si="0"/>
        <v>1</v>
      </c>
      <c r="V7" t="str">
        <f t="shared" si="1"/>
        <v>MLB</v>
      </c>
      <c r="W7" t="s">
        <v>1815</v>
      </c>
    </row>
    <row r="8" spans="1:23">
      <c r="A8" s="4">
        <v>2021</v>
      </c>
      <c r="B8">
        <v>1</v>
      </c>
      <c r="C8">
        <v>7</v>
      </c>
      <c r="D8">
        <v>7</v>
      </c>
      <c r="E8" t="s">
        <v>43</v>
      </c>
      <c r="F8" t="s">
        <v>191</v>
      </c>
      <c r="G8" t="s">
        <v>1</v>
      </c>
      <c r="T8" t="s">
        <v>52</v>
      </c>
      <c r="U8">
        <f t="shared" si="0"/>
        <v>1</v>
      </c>
      <c r="V8" t="s">
        <v>13</v>
      </c>
      <c r="W8">
        <v>-9999</v>
      </c>
    </row>
    <row r="9" spans="1:23">
      <c r="A9" s="4">
        <v>2021</v>
      </c>
      <c r="B9">
        <v>1</v>
      </c>
      <c r="C9">
        <v>8</v>
      </c>
      <c r="D9">
        <v>8</v>
      </c>
      <c r="E9" t="s">
        <v>37</v>
      </c>
      <c r="F9" t="s">
        <v>192</v>
      </c>
      <c r="G9" t="s">
        <v>2</v>
      </c>
      <c r="T9" t="s">
        <v>52</v>
      </c>
      <c r="U9">
        <f t="shared" si="0"/>
        <v>1</v>
      </c>
      <c r="V9" t="s">
        <v>13</v>
      </c>
      <c r="W9">
        <v>-9999</v>
      </c>
    </row>
    <row r="10" spans="1:23">
      <c r="A10" s="4">
        <v>2021</v>
      </c>
      <c r="B10">
        <v>1</v>
      </c>
      <c r="C10">
        <v>9</v>
      </c>
      <c r="D10">
        <v>9</v>
      </c>
      <c r="E10" t="s">
        <v>48</v>
      </c>
      <c r="F10" t="s">
        <v>193</v>
      </c>
      <c r="G10" t="s">
        <v>1</v>
      </c>
      <c r="H10" s="3">
        <v>0.7</v>
      </c>
      <c r="N10">
        <v>49</v>
      </c>
      <c r="O10">
        <v>3</v>
      </c>
      <c r="P10">
        <v>5</v>
      </c>
      <c r="Q10">
        <v>4.21</v>
      </c>
      <c r="R10">
        <v>1.4</v>
      </c>
      <c r="S10">
        <v>1</v>
      </c>
      <c r="T10" t="s">
        <v>34</v>
      </c>
      <c r="U10">
        <f t="shared" si="0"/>
        <v>0</v>
      </c>
      <c r="V10" t="str">
        <f t="shared" si="1"/>
        <v>MLB</v>
      </c>
      <c r="W10" t="s">
        <v>1816</v>
      </c>
    </row>
    <row r="11" spans="1:23">
      <c r="A11" s="4">
        <v>2021</v>
      </c>
      <c r="B11">
        <v>1</v>
      </c>
      <c r="C11">
        <v>10</v>
      </c>
      <c r="D11">
        <v>10</v>
      </c>
      <c r="E11" t="s">
        <v>71</v>
      </c>
      <c r="F11" t="s">
        <v>147</v>
      </c>
      <c r="G11" t="s">
        <v>1</v>
      </c>
      <c r="H11" s="3">
        <v>-0.9</v>
      </c>
      <c r="N11">
        <v>25</v>
      </c>
      <c r="O11">
        <v>5</v>
      </c>
      <c r="P11">
        <v>11</v>
      </c>
      <c r="Q11">
        <v>5.08</v>
      </c>
      <c r="R11">
        <v>1.48</v>
      </c>
      <c r="S11">
        <v>0</v>
      </c>
      <c r="T11" t="s">
        <v>34</v>
      </c>
      <c r="U11">
        <f t="shared" si="0"/>
        <v>0</v>
      </c>
      <c r="V11" t="str">
        <f t="shared" si="1"/>
        <v>MLB</v>
      </c>
      <c r="W11" t="s">
        <v>1817</v>
      </c>
    </row>
    <row r="12" spans="1:23">
      <c r="A12" s="4">
        <v>2021</v>
      </c>
      <c r="B12">
        <v>1</v>
      </c>
      <c r="C12">
        <v>11</v>
      </c>
      <c r="D12">
        <v>11</v>
      </c>
      <c r="E12" t="s">
        <v>53</v>
      </c>
      <c r="F12" t="s">
        <v>194</v>
      </c>
      <c r="G12" t="s">
        <v>5</v>
      </c>
      <c r="H12" s="3">
        <v>-0.5</v>
      </c>
      <c r="I12">
        <v>112</v>
      </c>
      <c r="J12">
        <v>407</v>
      </c>
      <c r="K12">
        <v>10</v>
      </c>
      <c r="L12">
        <v>0.23100000000000001</v>
      </c>
      <c r="M12">
        <v>0.61</v>
      </c>
      <c r="T12" t="s">
        <v>52</v>
      </c>
      <c r="U12">
        <f t="shared" si="0"/>
        <v>1</v>
      </c>
      <c r="V12" t="str">
        <f t="shared" si="1"/>
        <v>MLB</v>
      </c>
      <c r="W12" t="s">
        <v>1818</v>
      </c>
    </row>
    <row r="13" spans="1:23">
      <c r="A13" s="4">
        <v>2021</v>
      </c>
      <c r="B13">
        <v>1</v>
      </c>
      <c r="C13">
        <v>12</v>
      </c>
      <c r="D13">
        <v>12</v>
      </c>
      <c r="E13" t="s">
        <v>63</v>
      </c>
      <c r="F13" t="s">
        <v>195</v>
      </c>
      <c r="G13" t="s">
        <v>6</v>
      </c>
      <c r="H13" s="3">
        <v>0</v>
      </c>
      <c r="I13">
        <v>8</v>
      </c>
      <c r="J13">
        <v>6</v>
      </c>
      <c r="K13">
        <v>0</v>
      </c>
      <c r="L13">
        <v>0.16700000000000001</v>
      </c>
      <c r="M13">
        <v>0.41699999999999998</v>
      </c>
      <c r="T13" t="s">
        <v>52</v>
      </c>
      <c r="U13">
        <f t="shared" si="0"/>
        <v>1</v>
      </c>
      <c r="V13" t="str">
        <f t="shared" si="1"/>
        <v>MLB</v>
      </c>
      <c r="W13" t="s">
        <v>1819</v>
      </c>
    </row>
    <row r="14" spans="1:23">
      <c r="A14" s="4">
        <v>2021</v>
      </c>
      <c r="B14">
        <v>1</v>
      </c>
      <c r="C14">
        <v>13</v>
      </c>
      <c r="D14">
        <v>13</v>
      </c>
      <c r="E14" t="s">
        <v>87</v>
      </c>
      <c r="F14" t="s">
        <v>196</v>
      </c>
      <c r="G14" t="s">
        <v>1</v>
      </c>
      <c r="H14" s="3">
        <v>0</v>
      </c>
      <c r="I14">
        <v>0</v>
      </c>
      <c r="N14">
        <v>8</v>
      </c>
      <c r="O14">
        <v>1</v>
      </c>
      <c r="P14">
        <v>4</v>
      </c>
      <c r="Q14">
        <v>6.21</v>
      </c>
      <c r="R14">
        <v>1.59</v>
      </c>
      <c r="S14">
        <v>0</v>
      </c>
      <c r="T14" t="s">
        <v>52</v>
      </c>
      <c r="U14">
        <f t="shared" si="0"/>
        <v>1</v>
      </c>
      <c r="V14" t="str">
        <f t="shared" si="1"/>
        <v>MLB</v>
      </c>
      <c r="W14" t="s">
        <v>1820</v>
      </c>
    </row>
    <row r="15" spans="1:23">
      <c r="A15" s="4">
        <v>2021</v>
      </c>
      <c r="B15">
        <v>1</v>
      </c>
      <c r="C15">
        <v>14</v>
      </c>
      <c r="D15">
        <v>14</v>
      </c>
      <c r="E15" t="s">
        <v>59</v>
      </c>
      <c r="F15" t="s">
        <v>197</v>
      </c>
      <c r="G15" t="s">
        <v>1</v>
      </c>
      <c r="T15" t="s">
        <v>34</v>
      </c>
      <c r="U15">
        <f t="shared" si="0"/>
        <v>0</v>
      </c>
      <c r="V15" t="s">
        <v>12</v>
      </c>
      <c r="W15">
        <v>-9999</v>
      </c>
    </row>
    <row r="16" spans="1:23">
      <c r="A16" s="4">
        <v>2021</v>
      </c>
      <c r="B16">
        <v>1</v>
      </c>
      <c r="C16">
        <v>15</v>
      </c>
      <c r="D16">
        <v>15</v>
      </c>
      <c r="E16" t="s">
        <v>67</v>
      </c>
      <c r="F16" t="s">
        <v>198</v>
      </c>
      <c r="G16" t="s">
        <v>2</v>
      </c>
      <c r="H16" s="3">
        <v>6.3</v>
      </c>
      <c r="I16">
        <v>383</v>
      </c>
      <c r="J16">
        <v>1319</v>
      </c>
      <c r="K16">
        <v>20</v>
      </c>
      <c r="L16">
        <v>0.26500000000000001</v>
      </c>
      <c r="M16">
        <v>0.69799999999999995</v>
      </c>
      <c r="T16" t="s">
        <v>34</v>
      </c>
      <c r="U16">
        <f t="shared" si="0"/>
        <v>0</v>
      </c>
      <c r="V16" t="str">
        <f t="shared" si="1"/>
        <v>MLB</v>
      </c>
      <c r="W16" t="s">
        <v>1821</v>
      </c>
    </row>
    <row r="17" spans="1:23">
      <c r="A17" s="4">
        <v>2021</v>
      </c>
      <c r="B17">
        <v>1</v>
      </c>
      <c r="C17">
        <v>16</v>
      </c>
      <c r="D17">
        <v>16</v>
      </c>
      <c r="E17" t="s">
        <v>65</v>
      </c>
      <c r="F17" t="s">
        <v>199</v>
      </c>
      <c r="G17" t="s">
        <v>5</v>
      </c>
      <c r="T17" t="s">
        <v>52</v>
      </c>
      <c r="U17">
        <f t="shared" si="0"/>
        <v>1</v>
      </c>
      <c r="V17" t="s">
        <v>12</v>
      </c>
      <c r="W17">
        <v>-9999</v>
      </c>
    </row>
    <row r="18" spans="1:23">
      <c r="A18" s="4">
        <v>2021</v>
      </c>
      <c r="B18">
        <v>1</v>
      </c>
      <c r="C18">
        <v>17</v>
      </c>
      <c r="D18">
        <v>17</v>
      </c>
      <c r="E18" t="s">
        <v>35</v>
      </c>
      <c r="F18" t="s">
        <v>200</v>
      </c>
      <c r="G18" t="s">
        <v>5</v>
      </c>
      <c r="H18" s="3">
        <v>3.2</v>
      </c>
      <c r="I18">
        <v>279</v>
      </c>
      <c r="J18">
        <v>1026</v>
      </c>
      <c r="K18">
        <v>34</v>
      </c>
      <c r="L18">
        <v>0.24299999999999999</v>
      </c>
      <c r="M18">
        <v>0.71799999999999997</v>
      </c>
      <c r="T18" t="s">
        <v>34</v>
      </c>
      <c r="U18">
        <f t="shared" si="0"/>
        <v>0</v>
      </c>
      <c r="V18" t="str">
        <f t="shared" si="1"/>
        <v>MLB</v>
      </c>
      <c r="W18" t="s">
        <v>1738</v>
      </c>
    </row>
    <row r="19" spans="1:23">
      <c r="A19" s="4">
        <v>2021</v>
      </c>
      <c r="B19">
        <v>1</v>
      </c>
      <c r="C19">
        <v>18</v>
      </c>
      <c r="D19">
        <v>18</v>
      </c>
      <c r="E19" t="s">
        <v>46</v>
      </c>
      <c r="F19" t="s">
        <v>201</v>
      </c>
      <c r="G19" t="s">
        <v>1</v>
      </c>
      <c r="H19" s="3">
        <v>3</v>
      </c>
      <c r="N19">
        <v>29</v>
      </c>
      <c r="O19">
        <v>14</v>
      </c>
      <c r="P19">
        <v>6</v>
      </c>
      <c r="Q19">
        <v>3.46</v>
      </c>
      <c r="R19">
        <v>1.08</v>
      </c>
      <c r="S19">
        <v>0</v>
      </c>
      <c r="T19" t="s">
        <v>34</v>
      </c>
      <c r="U19">
        <f t="shared" si="0"/>
        <v>0</v>
      </c>
      <c r="V19" t="str">
        <f t="shared" si="1"/>
        <v>MLB</v>
      </c>
      <c r="W19" t="s">
        <v>1822</v>
      </c>
    </row>
    <row r="20" spans="1:23">
      <c r="A20" s="4">
        <v>2021</v>
      </c>
      <c r="B20">
        <v>1</v>
      </c>
      <c r="C20">
        <v>19</v>
      </c>
      <c r="D20">
        <v>19</v>
      </c>
      <c r="E20" t="s">
        <v>73</v>
      </c>
      <c r="F20" t="s">
        <v>202</v>
      </c>
      <c r="G20" t="s">
        <v>1</v>
      </c>
      <c r="H20" s="3">
        <v>-0.1</v>
      </c>
      <c r="N20">
        <v>6</v>
      </c>
      <c r="O20">
        <v>1</v>
      </c>
      <c r="P20">
        <v>3</v>
      </c>
      <c r="Q20">
        <v>6.4</v>
      </c>
      <c r="R20">
        <v>1.52</v>
      </c>
      <c r="S20">
        <v>0</v>
      </c>
      <c r="T20" t="s">
        <v>34</v>
      </c>
      <c r="U20">
        <f t="shared" si="0"/>
        <v>0</v>
      </c>
      <c r="V20" t="str">
        <f t="shared" si="1"/>
        <v>MLB</v>
      </c>
      <c r="W20" t="s">
        <v>1746</v>
      </c>
    </row>
    <row r="21" spans="1:23">
      <c r="A21" s="4">
        <v>2021</v>
      </c>
      <c r="B21">
        <v>1</v>
      </c>
      <c r="C21">
        <v>20</v>
      </c>
      <c r="D21">
        <v>20</v>
      </c>
      <c r="E21" t="s">
        <v>85</v>
      </c>
      <c r="F21" t="s">
        <v>203</v>
      </c>
      <c r="G21" t="s">
        <v>5</v>
      </c>
      <c r="H21" s="3">
        <v>-0.1</v>
      </c>
      <c r="I21">
        <v>154</v>
      </c>
      <c r="J21">
        <v>406</v>
      </c>
      <c r="K21">
        <v>10</v>
      </c>
      <c r="L21">
        <v>0.20200000000000001</v>
      </c>
      <c r="M21">
        <v>0.57299999999999995</v>
      </c>
      <c r="T21" t="s">
        <v>34</v>
      </c>
      <c r="U21">
        <f t="shared" si="0"/>
        <v>0</v>
      </c>
      <c r="V21" t="str">
        <f t="shared" si="1"/>
        <v>MLB</v>
      </c>
      <c r="W21" t="s">
        <v>1823</v>
      </c>
    </row>
    <row r="22" spans="1:23">
      <c r="A22" s="4">
        <v>2021</v>
      </c>
      <c r="B22">
        <v>1</v>
      </c>
      <c r="C22">
        <v>21</v>
      </c>
      <c r="D22">
        <v>21</v>
      </c>
      <c r="E22" t="s">
        <v>61</v>
      </c>
      <c r="F22" t="s">
        <v>204</v>
      </c>
      <c r="G22" t="s">
        <v>1</v>
      </c>
      <c r="H22" s="3">
        <v>-0.5</v>
      </c>
      <c r="N22">
        <v>26</v>
      </c>
      <c r="O22">
        <v>6</v>
      </c>
      <c r="P22">
        <v>6</v>
      </c>
      <c r="Q22">
        <v>5.21</v>
      </c>
      <c r="R22">
        <v>1.52</v>
      </c>
      <c r="S22">
        <v>1</v>
      </c>
      <c r="T22" t="s">
        <v>34</v>
      </c>
      <c r="U22">
        <f t="shared" si="0"/>
        <v>0</v>
      </c>
      <c r="V22" t="str">
        <f t="shared" si="1"/>
        <v>MLB</v>
      </c>
      <c r="W22" t="s">
        <v>1824</v>
      </c>
    </row>
    <row r="23" spans="1:23">
      <c r="A23" s="4">
        <v>2021</v>
      </c>
      <c r="B23">
        <v>1</v>
      </c>
      <c r="C23">
        <v>22</v>
      </c>
      <c r="D23">
        <v>22</v>
      </c>
      <c r="E23" t="s">
        <v>41</v>
      </c>
      <c r="F23" t="s">
        <v>205</v>
      </c>
      <c r="G23" t="s">
        <v>5</v>
      </c>
      <c r="H23" s="3">
        <v>4.5999999999999996</v>
      </c>
      <c r="I23">
        <v>113</v>
      </c>
      <c r="J23">
        <v>407</v>
      </c>
      <c r="K23">
        <v>32</v>
      </c>
      <c r="L23">
        <v>0.23599999999999999</v>
      </c>
      <c r="M23">
        <v>0.83699999999999997</v>
      </c>
      <c r="T23" t="s">
        <v>52</v>
      </c>
      <c r="U23">
        <f t="shared" si="0"/>
        <v>1</v>
      </c>
      <c r="V23" t="str">
        <f t="shared" si="1"/>
        <v>MLB</v>
      </c>
      <c r="W23" t="s">
        <v>1825</v>
      </c>
    </row>
    <row r="24" spans="1:23">
      <c r="A24" s="4">
        <v>2021</v>
      </c>
      <c r="B24">
        <v>1</v>
      </c>
      <c r="C24">
        <v>23</v>
      </c>
      <c r="D24">
        <v>23</v>
      </c>
      <c r="E24" t="s">
        <v>206</v>
      </c>
      <c r="F24" t="s">
        <v>207</v>
      </c>
      <c r="G24" t="s">
        <v>1</v>
      </c>
      <c r="H24" s="3">
        <v>6.7</v>
      </c>
      <c r="N24">
        <v>72</v>
      </c>
      <c r="O24">
        <v>23</v>
      </c>
      <c r="P24">
        <v>23</v>
      </c>
      <c r="Q24">
        <v>3.57</v>
      </c>
      <c r="R24">
        <v>1.27</v>
      </c>
      <c r="S24">
        <v>0</v>
      </c>
      <c r="T24" t="s">
        <v>34</v>
      </c>
      <c r="U24">
        <f t="shared" si="0"/>
        <v>0</v>
      </c>
      <c r="V24" t="str">
        <f t="shared" si="1"/>
        <v>MLB</v>
      </c>
      <c r="W24" t="s">
        <v>1826</v>
      </c>
    </row>
    <row r="25" spans="1:23">
      <c r="A25" s="4">
        <v>2021</v>
      </c>
      <c r="B25">
        <v>1</v>
      </c>
      <c r="C25">
        <v>24</v>
      </c>
      <c r="D25">
        <v>24</v>
      </c>
      <c r="E25" t="s">
        <v>81</v>
      </c>
      <c r="F25" t="s">
        <v>208</v>
      </c>
      <c r="G25" t="s">
        <v>1</v>
      </c>
      <c r="T25" t="s">
        <v>34</v>
      </c>
      <c r="U25">
        <f t="shared" si="0"/>
        <v>0</v>
      </c>
      <c r="V25" t="s">
        <v>12</v>
      </c>
      <c r="W25">
        <v>-9999</v>
      </c>
    </row>
    <row r="26" spans="1:23">
      <c r="A26" s="4">
        <v>2021</v>
      </c>
      <c r="B26">
        <v>1</v>
      </c>
      <c r="C26">
        <v>25</v>
      </c>
      <c r="D26">
        <v>25</v>
      </c>
      <c r="E26" t="s">
        <v>39</v>
      </c>
      <c r="F26" t="s">
        <v>209</v>
      </c>
      <c r="G26" t="s">
        <v>5</v>
      </c>
      <c r="H26" s="3">
        <v>-0.1</v>
      </c>
      <c r="I26">
        <v>89</v>
      </c>
      <c r="J26">
        <v>298</v>
      </c>
      <c r="K26">
        <v>11</v>
      </c>
      <c r="L26">
        <v>0.221</v>
      </c>
      <c r="M26">
        <v>0.66100000000000003</v>
      </c>
      <c r="T26" t="s">
        <v>52</v>
      </c>
      <c r="U26">
        <f t="shared" si="0"/>
        <v>1</v>
      </c>
      <c r="V26" t="str">
        <f t="shared" si="1"/>
        <v>MLB</v>
      </c>
      <c r="W26" t="s">
        <v>1827</v>
      </c>
    </row>
    <row r="27" spans="1:23">
      <c r="A27" s="4">
        <v>2021</v>
      </c>
      <c r="B27">
        <v>1</v>
      </c>
      <c r="C27">
        <v>26</v>
      </c>
      <c r="D27">
        <v>26</v>
      </c>
      <c r="E27" t="s">
        <v>75</v>
      </c>
      <c r="F27" t="s">
        <v>210</v>
      </c>
      <c r="G27" t="s">
        <v>1</v>
      </c>
      <c r="H27" s="3">
        <v>-0.7</v>
      </c>
      <c r="N27">
        <v>4</v>
      </c>
      <c r="O27">
        <v>0</v>
      </c>
      <c r="P27">
        <v>3</v>
      </c>
      <c r="Q27">
        <v>12.34</v>
      </c>
      <c r="R27">
        <v>2.4</v>
      </c>
      <c r="S27">
        <v>0</v>
      </c>
      <c r="T27" t="s">
        <v>52</v>
      </c>
      <c r="U27">
        <f t="shared" si="0"/>
        <v>1</v>
      </c>
      <c r="V27" t="str">
        <f t="shared" si="1"/>
        <v>MLB</v>
      </c>
      <c r="W27" t="s">
        <v>1828</v>
      </c>
    </row>
    <row r="28" spans="1:23">
      <c r="A28" s="4">
        <v>2021</v>
      </c>
      <c r="B28">
        <v>1</v>
      </c>
      <c r="C28">
        <v>27</v>
      </c>
      <c r="D28">
        <v>27</v>
      </c>
      <c r="E28" t="s">
        <v>83</v>
      </c>
      <c r="F28" t="s">
        <v>211</v>
      </c>
      <c r="G28" t="s">
        <v>5</v>
      </c>
      <c r="H28" s="3">
        <v>7.6</v>
      </c>
      <c r="I28">
        <v>312</v>
      </c>
      <c r="J28">
        <v>1152</v>
      </c>
      <c r="K28">
        <v>44</v>
      </c>
      <c r="L28">
        <v>0.27100000000000002</v>
      </c>
      <c r="M28">
        <v>0.77900000000000003</v>
      </c>
      <c r="T28" t="s">
        <v>52</v>
      </c>
      <c r="U28">
        <f t="shared" si="0"/>
        <v>1</v>
      </c>
      <c r="V28" t="str">
        <f t="shared" si="1"/>
        <v>MLB</v>
      </c>
      <c r="W28" t="s">
        <v>1829</v>
      </c>
    </row>
    <row r="29" spans="1:23">
      <c r="A29" s="4">
        <v>2021</v>
      </c>
      <c r="B29">
        <v>1</v>
      </c>
      <c r="C29">
        <v>28</v>
      </c>
      <c r="D29">
        <v>28</v>
      </c>
      <c r="E29" t="s">
        <v>69</v>
      </c>
      <c r="F29" t="s">
        <v>212</v>
      </c>
      <c r="G29" t="s">
        <v>5</v>
      </c>
      <c r="H29" s="3">
        <v>-0.4</v>
      </c>
      <c r="I29">
        <v>39</v>
      </c>
      <c r="J29">
        <v>122</v>
      </c>
      <c r="K29">
        <v>5</v>
      </c>
      <c r="L29">
        <v>0.16400000000000001</v>
      </c>
      <c r="M29">
        <v>0.52900000000000003</v>
      </c>
      <c r="T29" t="s">
        <v>52</v>
      </c>
      <c r="U29">
        <f t="shared" si="0"/>
        <v>1</v>
      </c>
      <c r="V29" t="str">
        <f t="shared" si="1"/>
        <v>MLB</v>
      </c>
      <c r="W29" t="s">
        <v>1830</v>
      </c>
    </row>
    <row r="30" spans="1:23">
      <c r="A30" s="4">
        <v>2021</v>
      </c>
      <c r="B30">
        <v>1</v>
      </c>
      <c r="C30">
        <v>29</v>
      </c>
      <c r="D30">
        <v>29</v>
      </c>
      <c r="E30" t="s">
        <v>79</v>
      </c>
      <c r="F30" t="s">
        <v>213</v>
      </c>
      <c r="G30" t="s">
        <v>1</v>
      </c>
      <c r="T30" t="s">
        <v>52</v>
      </c>
      <c r="U30">
        <f t="shared" si="0"/>
        <v>1</v>
      </c>
      <c r="V30" t="s">
        <v>13</v>
      </c>
      <c r="W30">
        <v>-9999</v>
      </c>
    </row>
    <row r="31" spans="1:23">
      <c r="A31" s="4">
        <v>2021</v>
      </c>
      <c r="B31">
        <v>1</v>
      </c>
      <c r="C31">
        <v>30</v>
      </c>
      <c r="D31">
        <v>30</v>
      </c>
      <c r="E31" t="s">
        <v>35</v>
      </c>
      <c r="F31" t="s">
        <v>214</v>
      </c>
      <c r="G31" t="s">
        <v>2</v>
      </c>
      <c r="T31" t="s">
        <v>52</v>
      </c>
      <c r="U31">
        <f t="shared" si="0"/>
        <v>1</v>
      </c>
      <c r="V31" t="s">
        <v>13</v>
      </c>
      <c r="W31">
        <v>-9999</v>
      </c>
    </row>
    <row r="32" spans="1:23">
      <c r="A32" s="4">
        <v>2021</v>
      </c>
      <c r="B32">
        <v>1</v>
      </c>
      <c r="C32">
        <v>31</v>
      </c>
      <c r="D32">
        <v>31</v>
      </c>
      <c r="E32" t="s">
        <v>65</v>
      </c>
      <c r="F32" t="s">
        <v>215</v>
      </c>
      <c r="G32" t="s">
        <v>6</v>
      </c>
      <c r="H32" s="3">
        <v>0</v>
      </c>
      <c r="I32">
        <v>9</v>
      </c>
      <c r="J32">
        <v>27</v>
      </c>
      <c r="K32">
        <v>0</v>
      </c>
      <c r="L32">
        <v>0.222</v>
      </c>
      <c r="M32">
        <v>0.58299999999999996</v>
      </c>
      <c r="T32" t="s">
        <v>52</v>
      </c>
      <c r="U32">
        <f t="shared" si="0"/>
        <v>1</v>
      </c>
      <c r="V32" t="str">
        <f t="shared" si="1"/>
        <v>MLB</v>
      </c>
      <c r="W32" t="s">
        <v>1831</v>
      </c>
    </row>
    <row r="33" spans="1:23">
      <c r="A33" s="4">
        <v>2021</v>
      </c>
      <c r="B33">
        <v>1</v>
      </c>
      <c r="C33">
        <v>32</v>
      </c>
      <c r="D33">
        <v>32</v>
      </c>
      <c r="E33" t="s">
        <v>55</v>
      </c>
      <c r="F33" t="s">
        <v>216</v>
      </c>
      <c r="G33" t="s">
        <v>1</v>
      </c>
      <c r="H33" s="3">
        <v>0.3</v>
      </c>
      <c r="N33">
        <v>8</v>
      </c>
      <c r="O33">
        <v>1</v>
      </c>
      <c r="P33">
        <v>1</v>
      </c>
      <c r="Q33">
        <v>3.71</v>
      </c>
      <c r="R33">
        <v>1.21</v>
      </c>
      <c r="S33">
        <v>0</v>
      </c>
      <c r="T33" t="s">
        <v>34</v>
      </c>
      <c r="U33">
        <f t="shared" si="0"/>
        <v>0</v>
      </c>
      <c r="V33" t="str">
        <f t="shared" si="1"/>
        <v>MLB</v>
      </c>
      <c r="W33" t="s">
        <v>1832</v>
      </c>
    </row>
    <row r="34" spans="1:23">
      <c r="A34" s="4">
        <v>2021</v>
      </c>
      <c r="B34">
        <v>1</v>
      </c>
      <c r="C34">
        <v>33</v>
      </c>
      <c r="D34">
        <v>33</v>
      </c>
      <c r="E34" t="s">
        <v>67</v>
      </c>
      <c r="F34" t="s">
        <v>217</v>
      </c>
      <c r="G34" t="s">
        <v>0</v>
      </c>
      <c r="H34" s="3">
        <v>0.1</v>
      </c>
      <c r="I34">
        <v>32</v>
      </c>
      <c r="J34">
        <v>84</v>
      </c>
      <c r="K34">
        <v>0</v>
      </c>
      <c r="L34">
        <v>0.25</v>
      </c>
      <c r="M34">
        <v>0.69</v>
      </c>
      <c r="T34" t="s">
        <v>34</v>
      </c>
      <c r="U34">
        <f t="shared" si="0"/>
        <v>0</v>
      </c>
      <c r="V34" t="str">
        <f t="shared" si="1"/>
        <v>MLB</v>
      </c>
      <c r="W34" t="s">
        <v>1833</v>
      </c>
    </row>
    <row r="35" spans="1:23">
      <c r="A35" s="4">
        <v>2021</v>
      </c>
      <c r="B35">
        <v>1</v>
      </c>
      <c r="C35">
        <v>34</v>
      </c>
      <c r="D35">
        <v>34</v>
      </c>
      <c r="E35" t="s">
        <v>69</v>
      </c>
      <c r="F35" t="s">
        <v>218</v>
      </c>
      <c r="G35" t="s">
        <v>0</v>
      </c>
      <c r="T35" t="s">
        <v>52</v>
      </c>
      <c r="U35">
        <f t="shared" si="0"/>
        <v>1</v>
      </c>
      <c r="V35" t="s">
        <v>12</v>
      </c>
      <c r="W35">
        <v>-9999</v>
      </c>
    </row>
    <row r="36" spans="1:23">
      <c r="A36" s="4">
        <v>2021</v>
      </c>
      <c r="B36">
        <v>1</v>
      </c>
      <c r="C36">
        <v>35</v>
      </c>
      <c r="D36">
        <v>35</v>
      </c>
      <c r="E36" t="s">
        <v>35</v>
      </c>
      <c r="F36" t="s">
        <v>219</v>
      </c>
      <c r="G36" t="s">
        <v>6</v>
      </c>
      <c r="T36" t="s">
        <v>34</v>
      </c>
      <c r="U36">
        <f t="shared" si="0"/>
        <v>0</v>
      </c>
      <c r="V36" t="s">
        <v>13</v>
      </c>
      <c r="W36">
        <v>-9999</v>
      </c>
    </row>
    <row r="37" spans="1:23">
      <c r="A37" s="4">
        <v>2021</v>
      </c>
      <c r="B37">
        <v>1</v>
      </c>
      <c r="C37">
        <v>36</v>
      </c>
      <c r="D37">
        <v>36</v>
      </c>
      <c r="E37" t="s">
        <v>75</v>
      </c>
      <c r="F37" t="s">
        <v>220</v>
      </c>
      <c r="G37" t="s">
        <v>5</v>
      </c>
      <c r="T37" t="s">
        <v>52</v>
      </c>
      <c r="U37">
        <f t="shared" si="0"/>
        <v>1</v>
      </c>
      <c r="V37" t="s">
        <v>12</v>
      </c>
      <c r="W37">
        <v>-9999</v>
      </c>
    </row>
    <row r="38" spans="1:23">
      <c r="A38" s="4"/>
    </row>
    <row r="39" spans="1:23">
      <c r="A39" s="4"/>
    </row>
  </sheetData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24B19-62C1-498A-9ED1-DC9B25D344A8}">
  <dimension ref="A1:W40"/>
  <sheetViews>
    <sheetView topLeftCell="F1" zoomScaleNormal="100" workbookViewId="0">
      <pane ySplit="1" topLeftCell="A32" activePane="bottomLeft" state="frozen"/>
      <selection pane="bottomLeft" activeCell="X1" sqref="X1"/>
    </sheetView>
  </sheetViews>
  <sheetFormatPr defaultRowHeight="14.5"/>
  <cols>
    <col min="1" max="1" width="5.1796875" bestFit="1" customWidth="1"/>
    <col min="2" max="2" width="4.6328125" bestFit="1" customWidth="1"/>
    <col min="3" max="3" width="6.7265625" bestFit="1" customWidth="1"/>
    <col min="4" max="4" width="6.6328125" bestFit="1" customWidth="1"/>
    <col min="5" max="5" width="13" bestFit="1" customWidth="1"/>
    <col min="6" max="6" width="23.7265625" bestFit="1" customWidth="1"/>
    <col min="7" max="7" width="4.453125" bestFit="1" customWidth="1"/>
    <col min="8" max="8" width="5.54296875" bestFit="1" customWidth="1"/>
    <col min="9" max="9" width="9" style="3" bestFit="1" customWidth="1"/>
    <col min="10" max="10" width="5.54296875" bestFit="1" customWidth="1"/>
    <col min="11" max="11" width="3.90625" bestFit="1" customWidth="1"/>
    <col min="12" max="13" width="6.54296875" bestFit="1" customWidth="1"/>
    <col min="14" max="16" width="3.54296875" bestFit="1" customWidth="1"/>
    <col min="17" max="17" width="5.54296875" bestFit="1" customWidth="1"/>
    <col min="18" max="18" width="6" bestFit="1" customWidth="1"/>
    <col min="19" max="19" width="3.6328125" bestFit="1" customWidth="1"/>
    <col min="20" max="20" width="4.54296875" bestFit="1" customWidth="1"/>
    <col min="21" max="21" width="4.7265625" bestFit="1" customWidth="1"/>
    <col min="22" max="22" width="9" bestFit="1" customWidth="1"/>
    <col min="23" max="23" width="9.6328125" bestFit="1" customWidth="1"/>
    <col min="24" max="24" width="48" bestFit="1" customWidth="1"/>
    <col min="25" max="25" width="14.36328125" bestFit="1" customWidth="1"/>
  </cols>
  <sheetData>
    <row r="1" spans="1:23">
      <c r="A1" s="4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s="3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 s="4">
        <v>2022</v>
      </c>
      <c r="B2">
        <v>1</v>
      </c>
      <c r="C2">
        <v>1</v>
      </c>
      <c r="D2">
        <v>1</v>
      </c>
      <c r="E2" t="s">
        <v>77</v>
      </c>
      <c r="F2" t="s">
        <v>145</v>
      </c>
      <c r="G2" t="s">
        <v>5</v>
      </c>
      <c r="H2">
        <v>1</v>
      </c>
      <c r="I2" s="3">
        <v>209</v>
      </c>
      <c r="J2">
        <v>776</v>
      </c>
      <c r="K2">
        <v>22</v>
      </c>
      <c r="L2">
        <v>0.22900000000000001</v>
      </c>
      <c r="M2">
        <v>0.65900000000000003</v>
      </c>
      <c r="T2" t="s">
        <v>52</v>
      </c>
      <c r="U2">
        <f>IF(ISNUMBER(SEARCH("HS",T2)),1,0)</f>
        <v>1</v>
      </c>
      <c r="V2" t="str">
        <f>IF(ISNUMBER(H2),"MLB","")</f>
        <v>MLB</v>
      </c>
      <c r="W2" t="s">
        <v>1834</v>
      </c>
    </row>
    <row r="3" spans="1:23">
      <c r="A3" s="4">
        <v>2022</v>
      </c>
      <c r="B3">
        <v>1</v>
      </c>
      <c r="C3">
        <v>2</v>
      </c>
      <c r="D3">
        <v>2</v>
      </c>
      <c r="E3" t="s">
        <v>91</v>
      </c>
      <c r="F3" t="s">
        <v>146</v>
      </c>
      <c r="G3" t="s">
        <v>2</v>
      </c>
      <c r="T3" t="s">
        <v>52</v>
      </c>
      <c r="U3">
        <f t="shared" ref="U3:U40" si="0">IF(ISNUMBER(SEARCH("HS",T3)),1,0)</f>
        <v>1</v>
      </c>
      <c r="V3" t="s">
        <v>13</v>
      </c>
      <c r="W3">
        <v>-9999</v>
      </c>
    </row>
    <row r="4" spans="1:23">
      <c r="A4" s="4">
        <v>2022</v>
      </c>
      <c r="B4">
        <v>1</v>
      </c>
      <c r="C4">
        <v>3</v>
      </c>
      <c r="D4">
        <v>3</v>
      </c>
      <c r="E4" t="s">
        <v>93</v>
      </c>
      <c r="F4" t="s">
        <v>147</v>
      </c>
      <c r="G4" t="s">
        <v>1</v>
      </c>
      <c r="H4">
        <v>-0.9</v>
      </c>
      <c r="N4">
        <v>25</v>
      </c>
      <c r="O4">
        <v>5</v>
      </c>
      <c r="P4">
        <v>11</v>
      </c>
      <c r="Q4">
        <v>5.08</v>
      </c>
      <c r="R4">
        <v>1.48</v>
      </c>
      <c r="S4">
        <v>0</v>
      </c>
      <c r="U4">
        <f t="shared" si="0"/>
        <v>0</v>
      </c>
      <c r="V4" t="str">
        <f t="shared" ref="V4:V40" si="1">IF(ISNUMBER(H4),"MLB","")</f>
        <v>MLB</v>
      </c>
      <c r="W4" t="s">
        <v>1817</v>
      </c>
    </row>
    <row r="5" spans="1:23">
      <c r="A5" s="4">
        <v>2022</v>
      </c>
      <c r="B5">
        <v>1</v>
      </c>
      <c r="C5">
        <v>4</v>
      </c>
      <c r="D5">
        <v>4</v>
      </c>
      <c r="E5" t="s">
        <v>50</v>
      </c>
      <c r="F5" t="s">
        <v>148</v>
      </c>
      <c r="G5" t="s">
        <v>5</v>
      </c>
      <c r="T5" t="s">
        <v>52</v>
      </c>
      <c r="U5">
        <f t="shared" si="0"/>
        <v>1</v>
      </c>
      <c r="V5" t="s">
        <v>12</v>
      </c>
      <c r="W5">
        <v>-9999</v>
      </c>
    </row>
    <row r="6" spans="1:23">
      <c r="A6" s="4">
        <v>2022</v>
      </c>
      <c r="B6">
        <v>1</v>
      </c>
      <c r="C6">
        <v>5</v>
      </c>
      <c r="D6">
        <v>5</v>
      </c>
      <c r="E6" t="s">
        <v>53</v>
      </c>
      <c r="F6" t="s">
        <v>149</v>
      </c>
      <c r="G6" t="s">
        <v>2</v>
      </c>
      <c r="T6" t="s">
        <v>52</v>
      </c>
      <c r="U6">
        <f t="shared" si="0"/>
        <v>1</v>
      </c>
      <c r="V6" t="s">
        <v>14</v>
      </c>
      <c r="W6">
        <v>-9999</v>
      </c>
    </row>
    <row r="7" spans="1:23">
      <c r="A7" s="4">
        <v>2022</v>
      </c>
      <c r="B7">
        <v>1</v>
      </c>
      <c r="C7">
        <v>6</v>
      </c>
      <c r="D7">
        <v>6</v>
      </c>
      <c r="E7" t="s">
        <v>65</v>
      </c>
      <c r="F7" t="s">
        <v>150</v>
      </c>
      <c r="G7" t="s">
        <v>11</v>
      </c>
      <c r="T7" t="s">
        <v>34</v>
      </c>
      <c r="U7">
        <f t="shared" si="0"/>
        <v>0</v>
      </c>
      <c r="V7" t="s">
        <v>12</v>
      </c>
      <c r="W7">
        <v>-9999</v>
      </c>
    </row>
    <row r="8" spans="1:23">
      <c r="A8" s="4">
        <v>2022</v>
      </c>
      <c r="B8">
        <v>1</v>
      </c>
      <c r="C8">
        <v>7</v>
      </c>
      <c r="D8">
        <v>7</v>
      </c>
      <c r="E8" t="s">
        <v>61</v>
      </c>
      <c r="F8" t="s">
        <v>151</v>
      </c>
      <c r="G8" t="s">
        <v>1</v>
      </c>
      <c r="H8">
        <v>2.2999999999999998</v>
      </c>
      <c r="N8">
        <v>25</v>
      </c>
      <c r="O8">
        <v>12</v>
      </c>
      <c r="P8">
        <v>4</v>
      </c>
      <c r="Q8">
        <v>2.66</v>
      </c>
      <c r="R8">
        <v>1.07</v>
      </c>
      <c r="S8">
        <v>0</v>
      </c>
      <c r="T8" t="s">
        <v>34</v>
      </c>
      <c r="U8">
        <f t="shared" si="0"/>
        <v>0</v>
      </c>
      <c r="V8" t="str">
        <f t="shared" si="1"/>
        <v>MLB</v>
      </c>
      <c r="W8" t="s">
        <v>1835</v>
      </c>
    </row>
    <row r="9" spans="1:23">
      <c r="A9" s="4">
        <v>2022</v>
      </c>
      <c r="B9">
        <v>1</v>
      </c>
      <c r="C9">
        <v>8</v>
      </c>
      <c r="D9">
        <v>8</v>
      </c>
      <c r="E9" t="s">
        <v>75</v>
      </c>
      <c r="F9" t="s">
        <v>152</v>
      </c>
      <c r="G9" t="s">
        <v>5</v>
      </c>
      <c r="H9">
        <v>-0.4</v>
      </c>
      <c r="I9" s="3">
        <v>229</v>
      </c>
      <c r="J9">
        <v>800</v>
      </c>
      <c r="K9">
        <v>24</v>
      </c>
      <c r="L9">
        <v>0.23799999999999999</v>
      </c>
      <c r="M9">
        <v>0.65200000000000002</v>
      </c>
      <c r="T9" t="s">
        <v>34</v>
      </c>
      <c r="U9">
        <f t="shared" si="0"/>
        <v>0</v>
      </c>
      <c r="V9" t="str">
        <f t="shared" si="1"/>
        <v>MLB</v>
      </c>
      <c r="W9" t="s">
        <v>1836</v>
      </c>
    </row>
    <row r="10" spans="1:23">
      <c r="A10" s="4">
        <v>2022</v>
      </c>
      <c r="B10">
        <v>1</v>
      </c>
      <c r="C10">
        <v>9</v>
      </c>
      <c r="D10">
        <v>9</v>
      </c>
      <c r="E10" t="s">
        <v>43</v>
      </c>
      <c r="F10" t="s">
        <v>153</v>
      </c>
      <c r="G10" t="s">
        <v>2</v>
      </c>
      <c r="T10" t="s">
        <v>34</v>
      </c>
      <c r="U10">
        <f t="shared" si="0"/>
        <v>0</v>
      </c>
      <c r="V10" t="s">
        <v>12</v>
      </c>
      <c r="W10">
        <v>-9999</v>
      </c>
    </row>
    <row r="11" spans="1:23">
      <c r="A11" s="4">
        <v>2022</v>
      </c>
      <c r="B11">
        <v>1</v>
      </c>
      <c r="C11">
        <v>10</v>
      </c>
      <c r="D11">
        <v>10</v>
      </c>
      <c r="E11" t="s">
        <v>37</v>
      </c>
      <c r="F11" t="s">
        <v>154</v>
      </c>
      <c r="G11" t="s">
        <v>1</v>
      </c>
      <c r="T11" t="s">
        <v>34</v>
      </c>
      <c r="U11">
        <f t="shared" si="0"/>
        <v>0</v>
      </c>
      <c r="V11" t="s">
        <v>12</v>
      </c>
      <c r="W11">
        <v>-9999</v>
      </c>
    </row>
    <row r="12" spans="1:23">
      <c r="A12" s="4">
        <v>2022</v>
      </c>
      <c r="B12">
        <v>1</v>
      </c>
      <c r="C12">
        <v>11</v>
      </c>
      <c r="D12">
        <v>11</v>
      </c>
      <c r="E12" t="s">
        <v>71</v>
      </c>
      <c r="F12" t="s">
        <v>155</v>
      </c>
      <c r="G12" t="s">
        <v>6</v>
      </c>
      <c r="T12" t="s">
        <v>34</v>
      </c>
      <c r="U12">
        <f t="shared" si="0"/>
        <v>0</v>
      </c>
      <c r="V12" t="s">
        <v>12</v>
      </c>
      <c r="W12">
        <v>-9999</v>
      </c>
    </row>
    <row r="13" spans="1:23">
      <c r="A13" s="4">
        <v>2022</v>
      </c>
      <c r="B13">
        <v>1</v>
      </c>
      <c r="C13">
        <v>12</v>
      </c>
      <c r="D13">
        <v>12</v>
      </c>
      <c r="E13" t="s">
        <v>55</v>
      </c>
      <c r="F13" t="s">
        <v>156</v>
      </c>
      <c r="G13" t="s">
        <v>0</v>
      </c>
      <c r="H13">
        <v>-1</v>
      </c>
      <c r="I13" s="3">
        <v>58</v>
      </c>
      <c r="J13">
        <v>132</v>
      </c>
      <c r="K13">
        <v>0</v>
      </c>
      <c r="L13">
        <v>0.189</v>
      </c>
      <c r="M13">
        <v>0.54600000000000004</v>
      </c>
      <c r="T13" t="s">
        <v>34</v>
      </c>
      <c r="U13">
        <f t="shared" si="0"/>
        <v>0</v>
      </c>
      <c r="V13" t="str">
        <f t="shared" si="1"/>
        <v>MLB</v>
      </c>
      <c r="W13" t="s">
        <v>1837</v>
      </c>
    </row>
    <row r="14" spans="1:23">
      <c r="A14" s="4">
        <v>2022</v>
      </c>
      <c r="B14">
        <v>1</v>
      </c>
      <c r="C14">
        <v>13</v>
      </c>
      <c r="D14">
        <v>13</v>
      </c>
      <c r="E14" t="s">
        <v>48</v>
      </c>
      <c r="F14" t="s">
        <v>157</v>
      </c>
      <c r="G14" t="s">
        <v>5</v>
      </c>
      <c r="H14">
        <v>12.9</v>
      </c>
      <c r="I14" s="3">
        <v>411</v>
      </c>
      <c r="J14">
        <v>1507</v>
      </c>
      <c r="K14">
        <v>65</v>
      </c>
      <c r="L14">
        <v>0.24399999999999999</v>
      </c>
      <c r="M14">
        <v>0.754</v>
      </c>
      <c r="T14" t="s">
        <v>34</v>
      </c>
      <c r="U14">
        <f t="shared" si="0"/>
        <v>0</v>
      </c>
      <c r="V14" t="str">
        <f t="shared" si="1"/>
        <v>MLB</v>
      </c>
      <c r="W14" t="s">
        <v>1838</v>
      </c>
    </row>
    <row r="15" spans="1:23">
      <c r="A15" s="4">
        <v>2022</v>
      </c>
      <c r="B15">
        <v>1</v>
      </c>
      <c r="C15">
        <v>14</v>
      </c>
      <c r="D15">
        <v>14</v>
      </c>
      <c r="E15" t="s">
        <v>71</v>
      </c>
      <c r="F15" t="s">
        <v>158</v>
      </c>
      <c r="G15" t="s">
        <v>5</v>
      </c>
      <c r="T15" t="s">
        <v>52</v>
      </c>
      <c r="U15">
        <f t="shared" si="0"/>
        <v>1</v>
      </c>
      <c r="V15" t="s">
        <v>12</v>
      </c>
      <c r="W15">
        <v>-9999</v>
      </c>
    </row>
    <row r="16" spans="1:23">
      <c r="A16" s="4">
        <v>2022</v>
      </c>
      <c r="B16">
        <v>1</v>
      </c>
      <c r="C16">
        <v>15</v>
      </c>
      <c r="D16">
        <v>15</v>
      </c>
      <c r="E16" t="s">
        <v>83</v>
      </c>
      <c r="F16" t="s">
        <v>159</v>
      </c>
      <c r="G16" t="s">
        <v>1</v>
      </c>
      <c r="T16" t="s">
        <v>52</v>
      </c>
      <c r="U16">
        <f t="shared" si="0"/>
        <v>1</v>
      </c>
      <c r="V16" t="s">
        <v>14</v>
      </c>
      <c r="W16">
        <v>-9999</v>
      </c>
    </row>
    <row r="17" spans="1:23">
      <c r="A17" s="4">
        <v>2022</v>
      </c>
      <c r="B17">
        <v>1</v>
      </c>
      <c r="C17">
        <v>16</v>
      </c>
      <c r="D17">
        <v>16</v>
      </c>
      <c r="E17" t="s">
        <v>32</v>
      </c>
      <c r="F17" t="s">
        <v>160</v>
      </c>
      <c r="G17" t="s">
        <v>2</v>
      </c>
      <c r="H17">
        <v>1</v>
      </c>
      <c r="I17" s="3">
        <v>40</v>
      </c>
      <c r="J17">
        <v>143</v>
      </c>
      <c r="K17">
        <v>6</v>
      </c>
      <c r="L17">
        <v>0.29399999999999998</v>
      </c>
      <c r="M17">
        <v>0.879</v>
      </c>
      <c r="T17" t="s">
        <v>34</v>
      </c>
      <c r="U17">
        <f t="shared" si="0"/>
        <v>0</v>
      </c>
      <c r="V17" t="str">
        <f t="shared" si="1"/>
        <v>MLB</v>
      </c>
      <c r="W17" t="s">
        <v>1839</v>
      </c>
    </row>
    <row r="18" spans="1:23">
      <c r="A18" s="4">
        <v>2022</v>
      </c>
      <c r="B18">
        <v>1</v>
      </c>
      <c r="C18">
        <v>17</v>
      </c>
      <c r="D18">
        <v>17</v>
      </c>
      <c r="E18" t="s">
        <v>87</v>
      </c>
      <c r="F18" t="s">
        <v>161</v>
      </c>
      <c r="G18" t="s">
        <v>2</v>
      </c>
      <c r="H18">
        <v>-0.1</v>
      </c>
      <c r="I18" s="3">
        <v>38</v>
      </c>
      <c r="J18">
        <v>121</v>
      </c>
      <c r="K18">
        <v>2</v>
      </c>
      <c r="L18">
        <v>0.27300000000000002</v>
      </c>
      <c r="M18">
        <v>0.75700000000000001</v>
      </c>
      <c r="T18" t="s">
        <v>52</v>
      </c>
      <c r="U18">
        <f t="shared" si="0"/>
        <v>1</v>
      </c>
      <c r="V18" t="str">
        <f t="shared" si="1"/>
        <v>MLB</v>
      </c>
      <c r="W18" t="s">
        <v>1840</v>
      </c>
    </row>
    <row r="19" spans="1:23">
      <c r="A19" s="4">
        <v>2022</v>
      </c>
      <c r="B19">
        <v>1</v>
      </c>
      <c r="C19">
        <v>18</v>
      </c>
      <c r="D19">
        <v>18</v>
      </c>
      <c r="E19" t="s">
        <v>35</v>
      </c>
      <c r="F19" t="s">
        <v>162</v>
      </c>
      <c r="G19" t="s">
        <v>11</v>
      </c>
      <c r="T19" t="s">
        <v>163</v>
      </c>
      <c r="U19">
        <f t="shared" si="0"/>
        <v>0</v>
      </c>
      <c r="V19" t="s">
        <v>13</v>
      </c>
      <c r="W19">
        <v>-9999</v>
      </c>
    </row>
    <row r="20" spans="1:23">
      <c r="A20" s="4">
        <v>2022</v>
      </c>
      <c r="B20">
        <v>1</v>
      </c>
      <c r="C20">
        <v>19</v>
      </c>
      <c r="D20">
        <v>19</v>
      </c>
      <c r="E20" t="s">
        <v>39</v>
      </c>
      <c r="F20" t="s">
        <v>164</v>
      </c>
      <c r="G20" t="s">
        <v>6</v>
      </c>
      <c r="H20">
        <v>0.3</v>
      </c>
      <c r="I20" s="3">
        <v>11</v>
      </c>
      <c r="J20">
        <v>23</v>
      </c>
      <c r="K20">
        <v>0</v>
      </c>
      <c r="L20">
        <v>0.47799999999999998</v>
      </c>
      <c r="M20">
        <v>1.1519999999999999</v>
      </c>
      <c r="T20" t="s">
        <v>34</v>
      </c>
      <c r="U20">
        <f t="shared" si="0"/>
        <v>0</v>
      </c>
      <c r="V20" t="str">
        <f t="shared" si="1"/>
        <v>MLB</v>
      </c>
      <c r="W20" t="s">
        <v>1841</v>
      </c>
    </row>
    <row r="21" spans="1:23">
      <c r="A21" s="4">
        <v>2022</v>
      </c>
      <c r="B21">
        <v>1</v>
      </c>
      <c r="C21">
        <v>20</v>
      </c>
      <c r="D21">
        <v>20</v>
      </c>
      <c r="E21" t="s">
        <v>81</v>
      </c>
      <c r="F21" t="s">
        <v>165</v>
      </c>
      <c r="G21" t="s">
        <v>1</v>
      </c>
      <c r="T21" t="s">
        <v>52</v>
      </c>
      <c r="U21">
        <f t="shared" si="0"/>
        <v>1</v>
      </c>
      <c r="V21" t="s">
        <v>12</v>
      </c>
      <c r="W21">
        <v>-9999</v>
      </c>
    </row>
    <row r="22" spans="1:23">
      <c r="A22" s="4">
        <v>2022</v>
      </c>
      <c r="B22">
        <v>1</v>
      </c>
      <c r="C22">
        <v>21</v>
      </c>
      <c r="D22">
        <v>21</v>
      </c>
      <c r="E22" t="s">
        <v>63</v>
      </c>
      <c r="F22" t="s">
        <v>166</v>
      </c>
      <c r="G22" t="s">
        <v>5</v>
      </c>
      <c r="H22">
        <v>2.2000000000000002</v>
      </c>
      <c r="I22" s="3">
        <v>121</v>
      </c>
      <c r="J22">
        <v>377</v>
      </c>
      <c r="K22">
        <v>7</v>
      </c>
      <c r="L22">
        <v>0.22500000000000001</v>
      </c>
      <c r="M22">
        <v>0.63700000000000001</v>
      </c>
      <c r="T22" t="s">
        <v>52</v>
      </c>
      <c r="U22">
        <f t="shared" si="0"/>
        <v>1</v>
      </c>
      <c r="V22" t="str">
        <f t="shared" si="1"/>
        <v>MLB</v>
      </c>
      <c r="W22" t="s">
        <v>1842</v>
      </c>
    </row>
    <row r="23" spans="1:23">
      <c r="A23" s="4">
        <v>2022</v>
      </c>
      <c r="B23">
        <v>1</v>
      </c>
      <c r="C23">
        <v>22</v>
      </c>
      <c r="D23">
        <v>22</v>
      </c>
      <c r="E23" t="s">
        <v>46</v>
      </c>
      <c r="F23" t="s">
        <v>167</v>
      </c>
      <c r="G23" t="s">
        <v>1</v>
      </c>
      <c r="T23" t="s">
        <v>34</v>
      </c>
      <c r="U23">
        <f t="shared" si="0"/>
        <v>0</v>
      </c>
      <c r="V23" t="s">
        <v>13</v>
      </c>
      <c r="W23">
        <v>-9999</v>
      </c>
    </row>
    <row r="24" spans="1:23">
      <c r="A24" s="4">
        <v>2022</v>
      </c>
      <c r="B24">
        <v>1</v>
      </c>
      <c r="C24">
        <v>23</v>
      </c>
      <c r="D24">
        <v>23</v>
      </c>
      <c r="E24" t="s">
        <v>73</v>
      </c>
      <c r="F24" t="s">
        <v>168</v>
      </c>
      <c r="G24" t="s">
        <v>1</v>
      </c>
      <c r="T24" t="s">
        <v>52</v>
      </c>
      <c r="U24">
        <f t="shared" si="0"/>
        <v>1</v>
      </c>
      <c r="V24" t="s">
        <v>1114</v>
      </c>
      <c r="W24">
        <v>-9999</v>
      </c>
    </row>
    <row r="25" spans="1:23">
      <c r="A25" s="4">
        <v>2022</v>
      </c>
      <c r="B25">
        <v>1</v>
      </c>
      <c r="C25">
        <v>24</v>
      </c>
      <c r="D25">
        <v>24</v>
      </c>
      <c r="E25" t="s">
        <v>57</v>
      </c>
      <c r="F25" t="s">
        <v>169</v>
      </c>
      <c r="G25" t="s">
        <v>5</v>
      </c>
      <c r="T25" t="s">
        <v>52</v>
      </c>
      <c r="U25">
        <f t="shared" si="0"/>
        <v>1</v>
      </c>
      <c r="V25" t="s">
        <v>12</v>
      </c>
      <c r="W25">
        <v>-9999</v>
      </c>
    </row>
    <row r="26" spans="1:23">
      <c r="A26" s="4">
        <v>2022</v>
      </c>
      <c r="B26">
        <v>1</v>
      </c>
      <c r="C26">
        <v>25</v>
      </c>
      <c r="D26">
        <v>25</v>
      </c>
      <c r="E26" t="s">
        <v>85</v>
      </c>
      <c r="F26" t="s">
        <v>170</v>
      </c>
      <c r="G26" t="s">
        <v>2</v>
      </c>
      <c r="H26">
        <v>-0.2</v>
      </c>
      <c r="I26" s="3">
        <v>5</v>
      </c>
      <c r="J26">
        <v>12</v>
      </c>
      <c r="K26">
        <v>0</v>
      </c>
      <c r="L26">
        <v>8.3000000000000004E-2</v>
      </c>
      <c r="M26">
        <v>0.35</v>
      </c>
      <c r="T26" t="s">
        <v>34</v>
      </c>
      <c r="U26">
        <f t="shared" si="0"/>
        <v>0</v>
      </c>
      <c r="V26" t="str">
        <f t="shared" si="1"/>
        <v>MLB</v>
      </c>
      <c r="W26" t="s">
        <v>1843</v>
      </c>
    </row>
    <row r="27" spans="1:23">
      <c r="A27" s="4">
        <v>2022</v>
      </c>
      <c r="B27">
        <v>1</v>
      </c>
      <c r="C27">
        <v>26</v>
      </c>
      <c r="D27">
        <v>26</v>
      </c>
      <c r="E27" t="s">
        <v>41</v>
      </c>
      <c r="F27" t="s">
        <v>171</v>
      </c>
      <c r="G27" t="s">
        <v>1</v>
      </c>
      <c r="H27">
        <v>0.2</v>
      </c>
      <c r="N27">
        <v>6</v>
      </c>
      <c r="O27">
        <v>2</v>
      </c>
      <c r="P27">
        <v>2</v>
      </c>
      <c r="Q27">
        <v>4.91</v>
      </c>
      <c r="R27">
        <v>1.36</v>
      </c>
      <c r="S27">
        <v>0</v>
      </c>
      <c r="T27" t="s">
        <v>52</v>
      </c>
      <c r="U27">
        <f t="shared" si="0"/>
        <v>1</v>
      </c>
      <c r="V27" t="str">
        <f t="shared" si="1"/>
        <v>MLB</v>
      </c>
      <c r="W27" t="s">
        <v>1844</v>
      </c>
    </row>
    <row r="28" spans="1:23">
      <c r="A28" s="4">
        <v>2022</v>
      </c>
      <c r="B28">
        <v>1</v>
      </c>
      <c r="C28">
        <v>27</v>
      </c>
      <c r="D28">
        <v>27</v>
      </c>
      <c r="E28" t="s">
        <v>67</v>
      </c>
      <c r="F28" t="s">
        <v>172</v>
      </c>
      <c r="G28" t="s">
        <v>5</v>
      </c>
      <c r="T28" t="s">
        <v>34</v>
      </c>
      <c r="U28">
        <f t="shared" si="0"/>
        <v>0</v>
      </c>
      <c r="V28" t="s">
        <v>13</v>
      </c>
      <c r="W28">
        <v>-9999</v>
      </c>
    </row>
    <row r="29" spans="1:23">
      <c r="A29" s="4">
        <v>2022</v>
      </c>
      <c r="B29">
        <v>1</v>
      </c>
      <c r="C29">
        <v>28</v>
      </c>
      <c r="D29">
        <v>28</v>
      </c>
      <c r="E29" t="s">
        <v>89</v>
      </c>
      <c r="F29" t="s">
        <v>173</v>
      </c>
      <c r="G29" t="s">
        <v>2</v>
      </c>
      <c r="H29">
        <v>-0.8</v>
      </c>
      <c r="I29" s="3">
        <v>64</v>
      </c>
      <c r="J29">
        <v>170</v>
      </c>
      <c r="K29">
        <v>5</v>
      </c>
      <c r="L29">
        <v>0.20599999999999999</v>
      </c>
      <c r="M29">
        <v>0.60599999999999998</v>
      </c>
      <c r="T29" t="s">
        <v>34</v>
      </c>
      <c r="U29">
        <f t="shared" si="0"/>
        <v>0</v>
      </c>
      <c r="V29" t="str">
        <f t="shared" si="1"/>
        <v>MLB</v>
      </c>
      <c r="W29" t="s">
        <v>1845</v>
      </c>
    </row>
    <row r="30" spans="1:23">
      <c r="A30" s="4">
        <v>2022</v>
      </c>
      <c r="B30">
        <v>1</v>
      </c>
      <c r="C30">
        <v>29</v>
      </c>
      <c r="D30">
        <v>29</v>
      </c>
      <c r="E30" t="s">
        <v>69</v>
      </c>
      <c r="F30" t="s">
        <v>174</v>
      </c>
      <c r="G30" t="s">
        <v>3</v>
      </c>
      <c r="T30" t="s">
        <v>52</v>
      </c>
      <c r="U30">
        <f t="shared" si="0"/>
        <v>1</v>
      </c>
      <c r="V30" t="s">
        <v>13</v>
      </c>
      <c r="W30">
        <v>-9999</v>
      </c>
    </row>
    <row r="31" spans="1:23">
      <c r="A31" s="4">
        <v>2022</v>
      </c>
      <c r="B31">
        <v>1</v>
      </c>
      <c r="C31">
        <v>30</v>
      </c>
      <c r="D31">
        <v>30</v>
      </c>
      <c r="E31" t="s">
        <v>59</v>
      </c>
      <c r="F31" t="s">
        <v>175</v>
      </c>
      <c r="G31" t="s">
        <v>45</v>
      </c>
      <c r="T31" t="s">
        <v>34</v>
      </c>
      <c r="U31">
        <f t="shared" si="0"/>
        <v>0</v>
      </c>
      <c r="V31" t="s">
        <v>12</v>
      </c>
      <c r="W31">
        <v>-9999</v>
      </c>
    </row>
    <row r="32" spans="1:23">
      <c r="A32" s="4">
        <v>2022</v>
      </c>
      <c r="B32">
        <v>1</v>
      </c>
      <c r="C32">
        <v>31</v>
      </c>
      <c r="D32">
        <v>31</v>
      </c>
      <c r="E32" t="s">
        <v>37</v>
      </c>
      <c r="F32" t="s">
        <v>176</v>
      </c>
      <c r="G32" t="s">
        <v>2</v>
      </c>
      <c r="T32" t="s">
        <v>34</v>
      </c>
      <c r="U32">
        <f t="shared" si="0"/>
        <v>0</v>
      </c>
      <c r="V32" t="s">
        <v>12</v>
      </c>
      <c r="W32" t="s">
        <v>1846</v>
      </c>
    </row>
    <row r="33" spans="1:23">
      <c r="A33" s="4">
        <v>2022</v>
      </c>
      <c r="B33">
        <v>1</v>
      </c>
      <c r="C33">
        <v>32</v>
      </c>
      <c r="D33">
        <v>32</v>
      </c>
      <c r="E33" t="s">
        <v>35</v>
      </c>
      <c r="F33" t="s">
        <v>177</v>
      </c>
      <c r="G33" t="s">
        <v>11</v>
      </c>
      <c r="H33">
        <v>1.4</v>
      </c>
      <c r="I33" s="3">
        <v>61</v>
      </c>
      <c r="J33">
        <v>219</v>
      </c>
      <c r="K33">
        <v>15</v>
      </c>
      <c r="L33">
        <v>0.251</v>
      </c>
      <c r="M33">
        <v>0.82</v>
      </c>
      <c r="T33" t="s">
        <v>52</v>
      </c>
      <c r="U33">
        <f t="shared" si="0"/>
        <v>1</v>
      </c>
      <c r="V33" t="str">
        <f t="shared" si="1"/>
        <v>MLB</v>
      </c>
      <c r="W33" t="s">
        <v>1847</v>
      </c>
    </row>
    <row r="34" spans="1:23">
      <c r="A34" s="4">
        <v>2022</v>
      </c>
      <c r="B34">
        <v>1</v>
      </c>
      <c r="C34">
        <v>33</v>
      </c>
      <c r="D34">
        <v>33</v>
      </c>
      <c r="E34" t="s">
        <v>77</v>
      </c>
      <c r="F34" t="s">
        <v>178</v>
      </c>
      <c r="G34" t="s">
        <v>2</v>
      </c>
      <c r="H34">
        <v>1.1000000000000001</v>
      </c>
      <c r="I34" s="3">
        <v>68</v>
      </c>
      <c r="J34">
        <v>213</v>
      </c>
      <c r="K34">
        <v>6</v>
      </c>
      <c r="L34">
        <v>0.23499999999999999</v>
      </c>
      <c r="M34">
        <v>0.73899999999999999</v>
      </c>
      <c r="T34" t="s">
        <v>34</v>
      </c>
      <c r="U34">
        <f t="shared" si="0"/>
        <v>0</v>
      </c>
      <c r="V34" t="str">
        <f t="shared" si="1"/>
        <v>MLB</v>
      </c>
      <c r="W34" t="s">
        <v>1848</v>
      </c>
    </row>
    <row r="35" spans="1:23">
      <c r="A35" s="4">
        <v>2022</v>
      </c>
      <c r="B35">
        <v>1</v>
      </c>
      <c r="C35">
        <v>34</v>
      </c>
      <c r="D35">
        <v>34</v>
      </c>
      <c r="E35" t="s">
        <v>91</v>
      </c>
      <c r="F35" t="s">
        <v>179</v>
      </c>
      <c r="G35" t="s">
        <v>1</v>
      </c>
      <c r="T35" t="s">
        <v>34</v>
      </c>
      <c r="U35">
        <f t="shared" si="0"/>
        <v>0</v>
      </c>
      <c r="V35" t="s">
        <v>13</v>
      </c>
      <c r="W35">
        <v>-9999</v>
      </c>
    </row>
    <row r="36" spans="1:23">
      <c r="A36" s="4">
        <v>2022</v>
      </c>
      <c r="B36">
        <v>1</v>
      </c>
      <c r="C36">
        <v>35</v>
      </c>
      <c r="D36">
        <v>35</v>
      </c>
      <c r="E36" t="s">
        <v>81</v>
      </c>
      <c r="F36" t="s">
        <v>180</v>
      </c>
      <c r="G36" t="s">
        <v>1</v>
      </c>
      <c r="H36">
        <v>0.4</v>
      </c>
      <c r="N36">
        <v>4</v>
      </c>
      <c r="O36">
        <v>1</v>
      </c>
      <c r="P36">
        <v>0</v>
      </c>
      <c r="Q36">
        <v>3.32</v>
      </c>
      <c r="R36">
        <v>1.43</v>
      </c>
      <c r="S36">
        <v>0</v>
      </c>
      <c r="T36" t="s">
        <v>52</v>
      </c>
      <c r="U36">
        <f t="shared" si="0"/>
        <v>1</v>
      </c>
      <c r="V36" t="str">
        <f t="shared" si="1"/>
        <v>MLB</v>
      </c>
      <c r="W36" t="s">
        <v>1849</v>
      </c>
    </row>
    <row r="37" spans="1:23">
      <c r="A37" s="4">
        <v>2022</v>
      </c>
      <c r="B37">
        <v>1</v>
      </c>
      <c r="C37">
        <v>36</v>
      </c>
      <c r="D37">
        <v>36</v>
      </c>
      <c r="E37" t="s">
        <v>50</v>
      </c>
      <c r="F37" t="s">
        <v>181</v>
      </c>
      <c r="G37" t="s">
        <v>1</v>
      </c>
      <c r="H37">
        <v>-0.7</v>
      </c>
      <c r="N37">
        <v>3</v>
      </c>
      <c r="O37">
        <v>0</v>
      </c>
      <c r="P37">
        <v>1</v>
      </c>
      <c r="Q37">
        <v>15.58</v>
      </c>
      <c r="R37">
        <v>2.88</v>
      </c>
      <c r="S37">
        <v>1</v>
      </c>
      <c r="T37" t="s">
        <v>34</v>
      </c>
      <c r="U37">
        <f t="shared" si="0"/>
        <v>0</v>
      </c>
      <c r="V37" t="str">
        <f t="shared" si="1"/>
        <v>MLB</v>
      </c>
      <c r="W37" t="s">
        <v>1850</v>
      </c>
    </row>
    <row r="38" spans="1:23">
      <c r="A38" s="4">
        <v>2022</v>
      </c>
      <c r="B38">
        <v>1</v>
      </c>
      <c r="C38">
        <v>37</v>
      </c>
      <c r="D38">
        <v>37</v>
      </c>
      <c r="E38" t="s">
        <v>32</v>
      </c>
      <c r="F38" t="s">
        <v>182</v>
      </c>
      <c r="G38" t="s">
        <v>1</v>
      </c>
      <c r="T38" t="s">
        <v>34</v>
      </c>
      <c r="U38">
        <f t="shared" si="0"/>
        <v>0</v>
      </c>
      <c r="V38" t="s">
        <v>13</v>
      </c>
      <c r="W38">
        <v>-9999</v>
      </c>
    </row>
    <row r="39" spans="1:23">
      <c r="A39" s="4">
        <v>2022</v>
      </c>
      <c r="B39">
        <v>1</v>
      </c>
      <c r="C39">
        <v>38</v>
      </c>
      <c r="D39">
        <v>38</v>
      </c>
      <c r="E39" t="s">
        <v>37</v>
      </c>
      <c r="F39" t="s">
        <v>183</v>
      </c>
      <c r="G39" t="s">
        <v>2</v>
      </c>
      <c r="H39">
        <v>-0.2</v>
      </c>
      <c r="I39" s="3">
        <v>232</v>
      </c>
      <c r="J39">
        <v>787</v>
      </c>
      <c r="K39">
        <v>20</v>
      </c>
      <c r="L39">
        <v>0.23499999999999999</v>
      </c>
      <c r="M39">
        <v>0.66600000000000004</v>
      </c>
      <c r="T39" t="s">
        <v>34</v>
      </c>
      <c r="U39">
        <f t="shared" si="0"/>
        <v>0</v>
      </c>
      <c r="V39" t="str">
        <f t="shared" si="1"/>
        <v>MLB</v>
      </c>
      <c r="W39" t="s">
        <v>1851</v>
      </c>
    </row>
    <row r="40" spans="1:23">
      <c r="A40" s="4">
        <v>2022</v>
      </c>
      <c r="B40">
        <v>1</v>
      </c>
      <c r="C40">
        <v>39</v>
      </c>
      <c r="D40">
        <v>39</v>
      </c>
      <c r="E40" t="s">
        <v>83</v>
      </c>
      <c r="F40" t="s">
        <v>184</v>
      </c>
      <c r="G40" t="s">
        <v>1</v>
      </c>
      <c r="H40">
        <v>0</v>
      </c>
      <c r="N40">
        <v>1</v>
      </c>
      <c r="O40">
        <v>0</v>
      </c>
      <c r="P40">
        <v>1</v>
      </c>
      <c r="Q40">
        <v>5.4</v>
      </c>
      <c r="R40">
        <v>1.8</v>
      </c>
      <c r="S40">
        <v>0</v>
      </c>
      <c r="T40" t="s">
        <v>52</v>
      </c>
      <c r="U40">
        <f t="shared" si="0"/>
        <v>1</v>
      </c>
      <c r="V40" t="str">
        <f t="shared" si="1"/>
        <v>MLB</v>
      </c>
      <c r="W40" t="s">
        <v>1852</v>
      </c>
    </row>
  </sheetData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EACB-3A0C-49FE-80C5-5F3F223C6B70}">
  <dimension ref="A1:W40"/>
  <sheetViews>
    <sheetView zoomScaleNormal="100" workbookViewId="0">
      <pane ySplit="1" topLeftCell="A23" activePane="bottomLeft" state="frozen"/>
      <selection pane="bottomLeft" activeCell="W1" sqref="W1"/>
    </sheetView>
  </sheetViews>
  <sheetFormatPr defaultRowHeight="14.5"/>
  <cols>
    <col min="1" max="1" width="5.1796875" bestFit="1" customWidth="1"/>
    <col min="2" max="2" width="4.26953125" bestFit="1" customWidth="1"/>
    <col min="3" max="3" width="6.36328125" bestFit="1" customWidth="1"/>
    <col min="4" max="4" width="6.26953125" bestFit="1" customWidth="1"/>
    <col min="5" max="5" width="13" bestFit="1" customWidth="1"/>
    <col min="6" max="6" width="23.7265625" bestFit="1" customWidth="1"/>
    <col min="7" max="7" width="4.453125" bestFit="1" customWidth="1"/>
    <col min="8" max="8" width="5.1796875" bestFit="1" customWidth="1"/>
    <col min="9" max="9" width="8.6328125" style="3" bestFit="1" customWidth="1"/>
    <col min="10" max="10" width="5.1796875" bestFit="1" customWidth="1"/>
    <col min="11" max="11" width="3.54296875" bestFit="1" customWidth="1"/>
    <col min="12" max="13" width="6.1796875" bestFit="1" customWidth="1"/>
    <col min="14" max="16" width="3.1796875" bestFit="1" customWidth="1"/>
    <col min="17" max="17" width="5.1796875" bestFit="1" customWidth="1"/>
    <col min="18" max="18" width="5.6328125" bestFit="1" customWidth="1"/>
    <col min="19" max="19" width="3.26953125" bestFit="1" customWidth="1"/>
    <col min="20" max="20" width="4.54296875" bestFit="1" customWidth="1"/>
    <col min="21" max="21" width="4.36328125" bestFit="1" customWidth="1"/>
    <col min="22" max="22" width="9" bestFit="1" customWidth="1"/>
    <col min="23" max="23" width="10.1796875" bestFit="1" customWidth="1"/>
    <col min="24" max="24" width="48" bestFit="1" customWidth="1"/>
    <col min="25" max="25" width="14.36328125" bestFit="1" customWidth="1"/>
  </cols>
  <sheetData>
    <row r="1" spans="1:23">
      <c r="A1" s="1" t="s">
        <v>10</v>
      </c>
      <c r="B1" t="s">
        <v>15</v>
      </c>
      <c r="C1" t="s">
        <v>16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s="3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 s="1">
        <v>2023</v>
      </c>
      <c r="B2">
        <v>1</v>
      </c>
      <c r="C2">
        <v>1</v>
      </c>
      <c r="D2">
        <v>1</v>
      </c>
      <c r="E2" t="s">
        <v>50</v>
      </c>
      <c r="F2" t="s">
        <v>106</v>
      </c>
      <c r="G2" t="s">
        <v>1</v>
      </c>
      <c r="H2">
        <v>15.3</v>
      </c>
      <c r="I2" s="3">
        <v>0</v>
      </c>
      <c r="J2">
        <v>0</v>
      </c>
      <c r="K2">
        <v>0</v>
      </c>
      <c r="N2">
        <v>64</v>
      </c>
      <c r="O2">
        <v>27</v>
      </c>
      <c r="P2">
        <v>15</v>
      </c>
      <c r="Q2">
        <v>1.97</v>
      </c>
      <c r="R2">
        <v>0.91</v>
      </c>
      <c r="S2">
        <v>0</v>
      </c>
      <c r="T2" t="s">
        <v>34</v>
      </c>
      <c r="U2">
        <f t="shared" ref="U2:U40" si="0">IF(ISNUMBER(SEARCH("HS",T2)),1,0)</f>
        <v>0</v>
      </c>
      <c r="V2" t="str">
        <f>IF(ISNUMBER(H2),"MLB","")</f>
        <v>MLB</v>
      </c>
      <c r="W2" t="s">
        <v>1853</v>
      </c>
    </row>
    <row r="3" spans="1:23">
      <c r="A3" s="1">
        <v>2023</v>
      </c>
      <c r="B3">
        <v>1</v>
      </c>
      <c r="C3">
        <v>2</v>
      </c>
      <c r="D3">
        <v>2</v>
      </c>
      <c r="E3" t="s">
        <v>53</v>
      </c>
      <c r="F3" t="s">
        <v>107</v>
      </c>
      <c r="G3" t="s">
        <v>2</v>
      </c>
      <c r="H3">
        <v>0.9</v>
      </c>
      <c r="I3" s="3">
        <v>116</v>
      </c>
      <c r="J3">
        <v>412</v>
      </c>
      <c r="K3">
        <v>13</v>
      </c>
      <c r="L3">
        <v>0.21099999999999999</v>
      </c>
      <c r="M3">
        <v>0.63400000000000001</v>
      </c>
      <c r="T3" t="s">
        <v>34</v>
      </c>
      <c r="U3">
        <f t="shared" si="0"/>
        <v>0</v>
      </c>
      <c r="V3" t="str">
        <f t="shared" ref="V3:V38" si="1">IF(ISNUMBER(H3),"MLB","")</f>
        <v>MLB</v>
      </c>
      <c r="W3" t="s">
        <v>1854</v>
      </c>
    </row>
    <row r="4" spans="1:23">
      <c r="A4" s="1">
        <v>2023</v>
      </c>
      <c r="B4">
        <v>1</v>
      </c>
      <c r="C4">
        <v>3</v>
      </c>
      <c r="D4">
        <v>3</v>
      </c>
      <c r="E4" t="s">
        <v>55</v>
      </c>
      <c r="F4" t="s">
        <v>108</v>
      </c>
      <c r="G4" t="s">
        <v>2</v>
      </c>
      <c r="T4" t="s">
        <v>52</v>
      </c>
      <c r="U4">
        <f t="shared" si="0"/>
        <v>1</v>
      </c>
      <c r="V4" t="s">
        <v>12</v>
      </c>
      <c r="W4">
        <v>-9999</v>
      </c>
    </row>
    <row r="5" spans="1:23">
      <c r="A5" s="1">
        <v>2023</v>
      </c>
      <c r="B5">
        <v>1</v>
      </c>
      <c r="C5">
        <v>4</v>
      </c>
      <c r="D5">
        <v>4</v>
      </c>
      <c r="E5" t="s">
        <v>93</v>
      </c>
      <c r="F5" t="s">
        <v>109</v>
      </c>
      <c r="G5" t="s">
        <v>2</v>
      </c>
      <c r="H5">
        <v>10.4</v>
      </c>
      <c r="I5" s="3">
        <v>288</v>
      </c>
      <c r="J5">
        <v>1068</v>
      </c>
      <c r="K5">
        <v>39</v>
      </c>
      <c r="L5">
        <v>0.246</v>
      </c>
      <c r="M5">
        <v>0.749</v>
      </c>
      <c r="T5" t="s">
        <v>34</v>
      </c>
      <c r="U5">
        <f t="shared" si="0"/>
        <v>0</v>
      </c>
      <c r="V5" t="str">
        <f t="shared" si="1"/>
        <v>MLB</v>
      </c>
      <c r="W5" t="s">
        <v>1855</v>
      </c>
    </row>
    <row r="6" spans="1:23">
      <c r="A6" s="1">
        <v>2023</v>
      </c>
      <c r="B6">
        <v>1</v>
      </c>
      <c r="C6">
        <v>5</v>
      </c>
      <c r="D6">
        <v>5</v>
      </c>
      <c r="E6" t="s">
        <v>75</v>
      </c>
      <c r="F6" t="s">
        <v>110</v>
      </c>
      <c r="G6" t="s">
        <v>2</v>
      </c>
      <c r="T6" t="s">
        <v>52</v>
      </c>
      <c r="U6">
        <f t="shared" si="0"/>
        <v>1</v>
      </c>
      <c r="V6" t="s">
        <v>12</v>
      </c>
      <c r="W6">
        <v>-9999</v>
      </c>
    </row>
    <row r="7" spans="1:23">
      <c r="A7" s="1">
        <v>2023</v>
      </c>
      <c r="B7">
        <v>1</v>
      </c>
      <c r="C7">
        <v>6</v>
      </c>
      <c r="D7">
        <v>6</v>
      </c>
      <c r="E7" t="s">
        <v>39</v>
      </c>
      <c r="F7" t="s">
        <v>111</v>
      </c>
      <c r="G7" t="s">
        <v>5</v>
      </c>
      <c r="H7">
        <v>3.2</v>
      </c>
      <c r="I7" s="3">
        <v>192</v>
      </c>
      <c r="J7">
        <v>739</v>
      </c>
      <c r="K7">
        <v>16</v>
      </c>
      <c r="L7">
        <v>0.29899999999999999</v>
      </c>
      <c r="M7">
        <v>0.75900000000000001</v>
      </c>
      <c r="T7" t="s">
        <v>34</v>
      </c>
      <c r="U7">
        <f t="shared" si="0"/>
        <v>0</v>
      </c>
      <c r="V7" t="str">
        <f t="shared" si="1"/>
        <v>MLB</v>
      </c>
      <c r="W7" t="s">
        <v>1856</v>
      </c>
    </row>
    <row r="8" spans="1:23">
      <c r="A8" s="1">
        <v>2023</v>
      </c>
      <c r="B8">
        <v>1</v>
      </c>
      <c r="C8">
        <v>7</v>
      </c>
      <c r="D8">
        <v>7</v>
      </c>
      <c r="E8" t="s">
        <v>35</v>
      </c>
      <c r="F8" t="s">
        <v>112</v>
      </c>
      <c r="G8" t="s">
        <v>1</v>
      </c>
      <c r="H8">
        <v>2</v>
      </c>
      <c r="N8">
        <v>14</v>
      </c>
      <c r="O8">
        <v>5</v>
      </c>
      <c r="P8">
        <v>5</v>
      </c>
      <c r="Q8">
        <v>3.52</v>
      </c>
      <c r="R8">
        <v>1.35</v>
      </c>
      <c r="S8">
        <v>0</v>
      </c>
      <c r="T8" t="s">
        <v>34</v>
      </c>
      <c r="U8">
        <f t="shared" si="0"/>
        <v>0</v>
      </c>
      <c r="V8" t="str">
        <f t="shared" si="1"/>
        <v>MLB</v>
      </c>
      <c r="W8" t="s">
        <v>1857</v>
      </c>
    </row>
    <row r="9" spans="1:23">
      <c r="A9" s="1">
        <v>2023</v>
      </c>
      <c r="B9">
        <v>1</v>
      </c>
      <c r="C9">
        <v>8</v>
      </c>
      <c r="D9">
        <v>8</v>
      </c>
      <c r="E9" t="s">
        <v>43</v>
      </c>
      <c r="F9" t="s">
        <v>113</v>
      </c>
      <c r="G9" t="s">
        <v>6</v>
      </c>
      <c r="T9" t="s">
        <v>52</v>
      </c>
      <c r="U9">
        <f t="shared" si="0"/>
        <v>1</v>
      </c>
      <c r="V9" t="s">
        <v>14</v>
      </c>
      <c r="W9">
        <v>-9999</v>
      </c>
    </row>
    <row r="10" spans="1:23">
      <c r="A10" s="1">
        <v>2023</v>
      </c>
      <c r="B10">
        <v>1</v>
      </c>
      <c r="C10">
        <v>9</v>
      </c>
      <c r="D10">
        <v>9</v>
      </c>
      <c r="E10" t="s">
        <v>37</v>
      </c>
      <c r="F10" t="s">
        <v>114</v>
      </c>
      <c r="G10" t="s">
        <v>1</v>
      </c>
      <c r="H10">
        <v>1</v>
      </c>
      <c r="N10">
        <v>30</v>
      </c>
      <c r="O10">
        <v>5</v>
      </c>
      <c r="P10">
        <v>14</v>
      </c>
      <c r="Q10">
        <v>5.55</v>
      </c>
      <c r="R10">
        <v>1.44</v>
      </c>
      <c r="S10">
        <v>0</v>
      </c>
      <c r="T10" t="s">
        <v>34</v>
      </c>
      <c r="U10">
        <f t="shared" si="0"/>
        <v>0</v>
      </c>
      <c r="V10" t="str">
        <f t="shared" si="1"/>
        <v>MLB</v>
      </c>
      <c r="W10" t="s">
        <v>1858</v>
      </c>
    </row>
    <row r="11" spans="1:23">
      <c r="A11" s="1">
        <v>2023</v>
      </c>
      <c r="B11">
        <v>1</v>
      </c>
      <c r="C11">
        <v>10</v>
      </c>
      <c r="D11">
        <v>10</v>
      </c>
      <c r="E11" t="s">
        <v>65</v>
      </c>
      <c r="F11" t="s">
        <v>115</v>
      </c>
      <c r="G11" t="s">
        <v>1</v>
      </c>
      <c r="T11" t="s">
        <v>52</v>
      </c>
      <c r="U11">
        <f t="shared" si="0"/>
        <v>1</v>
      </c>
      <c r="V11" t="s">
        <v>14</v>
      </c>
      <c r="W11">
        <v>-9999</v>
      </c>
    </row>
    <row r="12" spans="1:23">
      <c r="A12" s="1">
        <v>2023</v>
      </c>
      <c r="B12">
        <v>1</v>
      </c>
      <c r="C12">
        <v>11</v>
      </c>
      <c r="D12">
        <v>11</v>
      </c>
      <c r="E12" t="s">
        <v>48</v>
      </c>
      <c r="F12" t="s">
        <v>116</v>
      </c>
      <c r="G12" t="s">
        <v>3</v>
      </c>
      <c r="H12">
        <v>3</v>
      </c>
      <c r="I12" s="3">
        <v>348</v>
      </c>
      <c r="J12">
        <v>1273</v>
      </c>
      <c r="K12">
        <v>29</v>
      </c>
      <c r="L12">
        <v>0.25900000000000001</v>
      </c>
      <c r="M12">
        <v>0.72099999999999997</v>
      </c>
      <c r="T12" t="s">
        <v>34</v>
      </c>
      <c r="U12">
        <f t="shared" si="0"/>
        <v>0</v>
      </c>
      <c r="V12" t="str">
        <f t="shared" si="1"/>
        <v>MLB</v>
      </c>
      <c r="W12" t="s">
        <v>1859</v>
      </c>
    </row>
    <row r="13" spans="1:23">
      <c r="A13" s="1">
        <v>2023</v>
      </c>
      <c r="B13">
        <v>1</v>
      </c>
      <c r="C13">
        <v>12</v>
      </c>
      <c r="D13">
        <v>12</v>
      </c>
      <c r="E13" t="s">
        <v>91</v>
      </c>
      <c r="F13" t="s">
        <v>117</v>
      </c>
      <c r="G13" t="s">
        <v>5</v>
      </c>
      <c r="T13" t="s">
        <v>34</v>
      </c>
      <c r="U13">
        <f t="shared" si="0"/>
        <v>0</v>
      </c>
      <c r="V13" t="s">
        <v>12</v>
      </c>
      <c r="W13">
        <v>-9999</v>
      </c>
    </row>
    <row r="14" spans="1:23">
      <c r="A14" s="1">
        <v>2023</v>
      </c>
      <c r="B14">
        <v>1</v>
      </c>
      <c r="C14">
        <v>13</v>
      </c>
      <c r="D14">
        <v>13</v>
      </c>
      <c r="E14" t="s">
        <v>61</v>
      </c>
      <c r="F14" t="s">
        <v>118</v>
      </c>
      <c r="G14" t="s">
        <v>5</v>
      </c>
      <c r="H14">
        <v>3.6</v>
      </c>
      <c r="I14" s="3">
        <v>162</v>
      </c>
      <c r="J14">
        <v>479</v>
      </c>
      <c r="K14">
        <v>16</v>
      </c>
      <c r="L14">
        <v>0.23400000000000001</v>
      </c>
      <c r="M14">
        <v>0.7</v>
      </c>
      <c r="T14" t="s">
        <v>34</v>
      </c>
      <c r="U14">
        <f t="shared" si="0"/>
        <v>0</v>
      </c>
      <c r="V14" t="str">
        <f t="shared" si="1"/>
        <v>MLB</v>
      </c>
      <c r="W14" t="s">
        <v>1860</v>
      </c>
    </row>
    <row r="15" spans="1:23">
      <c r="A15" s="1">
        <v>2023</v>
      </c>
      <c r="B15">
        <v>1</v>
      </c>
      <c r="C15">
        <v>14</v>
      </c>
      <c r="D15">
        <v>14</v>
      </c>
      <c r="E15" t="s">
        <v>57</v>
      </c>
      <c r="F15" t="s">
        <v>119</v>
      </c>
      <c r="G15" t="s">
        <v>6</v>
      </c>
      <c r="H15">
        <v>1.9</v>
      </c>
      <c r="I15" s="3">
        <v>78</v>
      </c>
      <c r="J15">
        <v>253</v>
      </c>
      <c r="K15">
        <v>8</v>
      </c>
      <c r="L15">
        <v>0.27300000000000002</v>
      </c>
      <c r="M15">
        <v>0.78600000000000003</v>
      </c>
      <c r="T15" t="s">
        <v>34</v>
      </c>
      <c r="U15">
        <f t="shared" si="0"/>
        <v>0</v>
      </c>
      <c r="V15" t="str">
        <f t="shared" si="1"/>
        <v>MLB</v>
      </c>
      <c r="W15" t="s">
        <v>1861</v>
      </c>
    </row>
    <row r="16" spans="1:23">
      <c r="A16" s="1">
        <v>2023</v>
      </c>
      <c r="B16">
        <v>1</v>
      </c>
      <c r="C16">
        <v>15</v>
      </c>
      <c r="D16">
        <v>15</v>
      </c>
      <c r="E16" t="s">
        <v>41</v>
      </c>
      <c r="F16" t="s">
        <v>120</v>
      </c>
      <c r="G16" t="s">
        <v>5</v>
      </c>
      <c r="T16" t="s">
        <v>34</v>
      </c>
      <c r="U16">
        <f t="shared" si="0"/>
        <v>0</v>
      </c>
      <c r="V16" t="s">
        <v>12</v>
      </c>
      <c r="W16">
        <v>-9999</v>
      </c>
    </row>
    <row r="17" spans="1:23">
      <c r="A17" s="1">
        <v>2023</v>
      </c>
      <c r="B17">
        <v>1</v>
      </c>
      <c r="C17">
        <v>16</v>
      </c>
      <c r="D17">
        <v>16</v>
      </c>
      <c r="E17" t="s">
        <v>59</v>
      </c>
      <c r="F17" t="s">
        <v>121</v>
      </c>
      <c r="G17" t="s">
        <v>45</v>
      </c>
      <c r="H17">
        <v>-0.5</v>
      </c>
      <c r="I17" s="3">
        <v>17</v>
      </c>
      <c r="J17">
        <v>49</v>
      </c>
      <c r="K17">
        <v>1</v>
      </c>
      <c r="L17">
        <v>0.10199999999999999</v>
      </c>
      <c r="M17">
        <v>0.45400000000000001</v>
      </c>
      <c r="T17" t="s">
        <v>52</v>
      </c>
      <c r="U17">
        <f t="shared" si="0"/>
        <v>1</v>
      </c>
      <c r="V17" t="str">
        <f t="shared" si="1"/>
        <v>MLB</v>
      </c>
      <c r="W17" t="s">
        <v>1862</v>
      </c>
    </row>
    <row r="18" spans="1:23">
      <c r="A18" s="1">
        <v>2023</v>
      </c>
      <c r="B18">
        <v>1</v>
      </c>
      <c r="C18">
        <v>17</v>
      </c>
      <c r="D18">
        <v>17</v>
      </c>
      <c r="E18" t="s">
        <v>77</v>
      </c>
      <c r="F18" t="s">
        <v>122</v>
      </c>
      <c r="G18" t="s">
        <v>2</v>
      </c>
      <c r="T18" t="s">
        <v>34</v>
      </c>
      <c r="U18">
        <f t="shared" si="0"/>
        <v>0</v>
      </c>
      <c r="V18" t="s">
        <v>12</v>
      </c>
      <c r="W18">
        <v>-9999</v>
      </c>
    </row>
    <row r="19" spans="1:23">
      <c r="A19" s="1">
        <v>2023</v>
      </c>
      <c r="B19">
        <v>1</v>
      </c>
      <c r="C19">
        <v>18</v>
      </c>
      <c r="D19">
        <v>18</v>
      </c>
      <c r="E19" t="s">
        <v>67</v>
      </c>
      <c r="F19" t="s">
        <v>123</v>
      </c>
      <c r="G19" t="s">
        <v>11</v>
      </c>
      <c r="T19" t="s">
        <v>34</v>
      </c>
      <c r="U19">
        <f t="shared" si="0"/>
        <v>0</v>
      </c>
      <c r="V19" t="s">
        <v>12</v>
      </c>
      <c r="W19">
        <v>-9999</v>
      </c>
    </row>
    <row r="20" spans="1:23">
      <c r="A20" s="1">
        <v>2023</v>
      </c>
      <c r="B20">
        <v>1</v>
      </c>
      <c r="C20">
        <v>19</v>
      </c>
      <c r="D20">
        <v>19</v>
      </c>
      <c r="E20" t="s">
        <v>69</v>
      </c>
      <c r="F20" t="s">
        <v>124</v>
      </c>
      <c r="G20" t="s">
        <v>5</v>
      </c>
      <c r="T20" t="s">
        <v>34</v>
      </c>
      <c r="U20">
        <f t="shared" si="0"/>
        <v>0</v>
      </c>
      <c r="V20" t="s">
        <v>13</v>
      </c>
      <c r="W20">
        <v>-9999</v>
      </c>
    </row>
    <row r="21" spans="1:23">
      <c r="A21" s="1">
        <v>2023</v>
      </c>
      <c r="B21">
        <v>1</v>
      </c>
      <c r="C21">
        <v>20</v>
      </c>
      <c r="D21">
        <v>20</v>
      </c>
      <c r="E21" t="s">
        <v>73</v>
      </c>
      <c r="F21" t="s">
        <v>125</v>
      </c>
      <c r="G21" t="s">
        <v>5</v>
      </c>
      <c r="T21" t="s">
        <v>52</v>
      </c>
      <c r="U21">
        <f t="shared" si="0"/>
        <v>1</v>
      </c>
      <c r="V21" t="s">
        <v>13</v>
      </c>
      <c r="W21">
        <v>-9999</v>
      </c>
    </row>
    <row r="22" spans="1:23">
      <c r="A22" s="1">
        <v>2023</v>
      </c>
      <c r="B22">
        <v>1</v>
      </c>
      <c r="C22">
        <v>21</v>
      </c>
      <c r="D22">
        <v>21</v>
      </c>
      <c r="E22" t="s">
        <v>46</v>
      </c>
      <c r="F22" t="s">
        <v>126</v>
      </c>
      <c r="G22" t="s">
        <v>2</v>
      </c>
      <c r="T22" t="s">
        <v>34</v>
      </c>
      <c r="U22">
        <f t="shared" si="0"/>
        <v>0</v>
      </c>
      <c r="V22" t="s">
        <v>13</v>
      </c>
      <c r="W22">
        <v>-9999</v>
      </c>
    </row>
    <row r="23" spans="1:23">
      <c r="A23" s="1">
        <v>2023</v>
      </c>
      <c r="B23">
        <v>1</v>
      </c>
      <c r="C23">
        <v>22</v>
      </c>
      <c r="D23">
        <v>22</v>
      </c>
      <c r="E23" t="s">
        <v>63</v>
      </c>
      <c r="F23" t="s">
        <v>127</v>
      </c>
      <c r="G23" t="s">
        <v>5</v>
      </c>
      <c r="T23" t="s">
        <v>52</v>
      </c>
      <c r="U23">
        <f t="shared" si="0"/>
        <v>1</v>
      </c>
      <c r="V23" t="s">
        <v>13</v>
      </c>
      <c r="W23" t="s">
        <v>1863</v>
      </c>
    </row>
    <row r="24" spans="1:23">
      <c r="A24" s="1">
        <v>2023</v>
      </c>
      <c r="B24">
        <v>1</v>
      </c>
      <c r="C24">
        <v>23</v>
      </c>
      <c r="D24">
        <v>23</v>
      </c>
      <c r="E24" t="s">
        <v>32</v>
      </c>
      <c r="F24" t="s">
        <v>128</v>
      </c>
      <c r="G24" t="s">
        <v>6</v>
      </c>
      <c r="T24" t="s">
        <v>52</v>
      </c>
      <c r="U24">
        <f t="shared" si="0"/>
        <v>1</v>
      </c>
      <c r="V24" t="s">
        <v>13</v>
      </c>
      <c r="W24">
        <v>-9999</v>
      </c>
    </row>
    <row r="25" spans="1:23">
      <c r="A25" s="1">
        <v>2023</v>
      </c>
      <c r="B25">
        <v>1</v>
      </c>
      <c r="C25">
        <v>24</v>
      </c>
      <c r="D25">
        <v>24</v>
      </c>
      <c r="E25" t="s">
        <v>81</v>
      </c>
      <c r="F25" t="s">
        <v>129</v>
      </c>
      <c r="G25" t="s">
        <v>1</v>
      </c>
      <c r="H25">
        <v>0.8</v>
      </c>
      <c r="N25">
        <v>12</v>
      </c>
      <c r="O25">
        <v>6</v>
      </c>
      <c r="P25">
        <v>2</v>
      </c>
      <c r="Q25">
        <v>4.41</v>
      </c>
      <c r="R25">
        <v>1.33</v>
      </c>
      <c r="S25">
        <v>0</v>
      </c>
      <c r="T25" t="s">
        <v>34</v>
      </c>
      <c r="U25">
        <f t="shared" si="0"/>
        <v>0</v>
      </c>
      <c r="V25" t="str">
        <f t="shared" si="1"/>
        <v>MLB</v>
      </c>
      <c r="W25" t="s">
        <v>1864</v>
      </c>
    </row>
    <row r="26" spans="1:23">
      <c r="A26" s="1">
        <v>2023</v>
      </c>
      <c r="B26">
        <v>1</v>
      </c>
      <c r="C26">
        <v>25</v>
      </c>
      <c r="D26">
        <v>25</v>
      </c>
      <c r="E26" t="s">
        <v>83</v>
      </c>
      <c r="F26" t="s">
        <v>130</v>
      </c>
      <c r="G26" t="s">
        <v>2</v>
      </c>
      <c r="T26" t="s">
        <v>52</v>
      </c>
      <c r="U26">
        <f t="shared" si="0"/>
        <v>1</v>
      </c>
      <c r="V26" t="s">
        <v>14</v>
      </c>
      <c r="W26">
        <v>-9999</v>
      </c>
    </row>
    <row r="27" spans="1:23">
      <c r="A27" s="1">
        <v>2023</v>
      </c>
      <c r="B27">
        <v>1</v>
      </c>
      <c r="C27">
        <v>26</v>
      </c>
      <c r="D27">
        <v>26</v>
      </c>
      <c r="E27" t="s">
        <v>85</v>
      </c>
      <c r="F27" t="s">
        <v>131</v>
      </c>
      <c r="G27" t="s">
        <v>5</v>
      </c>
      <c r="T27" t="s">
        <v>52</v>
      </c>
      <c r="U27">
        <f t="shared" si="0"/>
        <v>1</v>
      </c>
      <c r="V27" t="s">
        <v>12</v>
      </c>
      <c r="W27">
        <v>-9999</v>
      </c>
    </row>
    <row r="28" spans="1:23">
      <c r="A28" s="1">
        <v>2023</v>
      </c>
      <c r="B28">
        <v>1</v>
      </c>
      <c r="C28">
        <v>27</v>
      </c>
      <c r="D28">
        <v>27</v>
      </c>
      <c r="E28" t="s">
        <v>87</v>
      </c>
      <c r="F28" t="s">
        <v>132</v>
      </c>
      <c r="G28" t="s">
        <v>5</v>
      </c>
      <c r="T28" t="s">
        <v>52</v>
      </c>
      <c r="U28">
        <f t="shared" si="0"/>
        <v>1</v>
      </c>
      <c r="V28" t="s">
        <v>12</v>
      </c>
      <c r="W28">
        <v>-9999</v>
      </c>
    </row>
    <row r="29" spans="1:23">
      <c r="A29" s="1">
        <v>2023</v>
      </c>
      <c r="B29">
        <v>1</v>
      </c>
      <c r="C29">
        <v>28</v>
      </c>
      <c r="D29">
        <v>28</v>
      </c>
      <c r="E29" t="s">
        <v>89</v>
      </c>
      <c r="F29" t="s">
        <v>133</v>
      </c>
      <c r="G29" t="s">
        <v>5</v>
      </c>
      <c r="H29">
        <v>0.5</v>
      </c>
      <c r="I29" s="3">
        <v>48</v>
      </c>
      <c r="J29">
        <v>140</v>
      </c>
      <c r="K29">
        <v>8</v>
      </c>
      <c r="L29">
        <v>0.193</v>
      </c>
      <c r="M29">
        <v>0.65700000000000003</v>
      </c>
      <c r="T29" t="s">
        <v>34</v>
      </c>
      <c r="U29">
        <f t="shared" si="0"/>
        <v>0</v>
      </c>
      <c r="V29" t="str">
        <f t="shared" si="1"/>
        <v>MLB</v>
      </c>
      <c r="W29" t="s">
        <v>1865</v>
      </c>
    </row>
    <row r="30" spans="1:23">
      <c r="A30" s="1">
        <v>2023</v>
      </c>
      <c r="B30">
        <v>1</v>
      </c>
      <c r="C30">
        <v>29</v>
      </c>
      <c r="D30">
        <v>31</v>
      </c>
      <c r="E30" t="s">
        <v>63</v>
      </c>
      <c r="F30" t="s">
        <v>134</v>
      </c>
      <c r="G30" t="s">
        <v>2</v>
      </c>
      <c r="T30" t="s">
        <v>52</v>
      </c>
      <c r="U30">
        <f t="shared" si="0"/>
        <v>1</v>
      </c>
      <c r="V30" t="s">
        <v>14</v>
      </c>
      <c r="W30">
        <v>-9999</v>
      </c>
    </row>
    <row r="31" spans="1:23">
      <c r="A31" s="1">
        <v>2023</v>
      </c>
      <c r="B31">
        <v>1</v>
      </c>
      <c r="C31">
        <v>30</v>
      </c>
      <c r="D31">
        <v>32</v>
      </c>
      <c r="E31" t="s">
        <v>63</v>
      </c>
      <c r="F31" t="s">
        <v>135</v>
      </c>
      <c r="G31" t="s">
        <v>5</v>
      </c>
      <c r="T31" t="s">
        <v>52</v>
      </c>
      <c r="U31">
        <f t="shared" si="0"/>
        <v>1</v>
      </c>
      <c r="V31" t="s">
        <v>14</v>
      </c>
      <c r="W31">
        <v>-9999</v>
      </c>
    </row>
    <row r="32" spans="1:23">
      <c r="A32" s="1">
        <v>2023</v>
      </c>
      <c r="B32">
        <v>1</v>
      </c>
      <c r="C32">
        <v>31</v>
      </c>
      <c r="D32">
        <v>33</v>
      </c>
      <c r="E32" t="s">
        <v>69</v>
      </c>
      <c r="F32" t="s">
        <v>136</v>
      </c>
      <c r="G32" t="s">
        <v>5</v>
      </c>
      <c r="T32" t="s">
        <v>52</v>
      </c>
      <c r="U32">
        <f t="shared" si="0"/>
        <v>1</v>
      </c>
      <c r="V32" t="s">
        <v>14</v>
      </c>
      <c r="W32">
        <v>-9999</v>
      </c>
    </row>
    <row r="33" spans="1:23">
      <c r="A33" s="1">
        <v>2023</v>
      </c>
      <c r="B33">
        <v>1</v>
      </c>
      <c r="C33">
        <v>32</v>
      </c>
      <c r="D33">
        <v>29</v>
      </c>
      <c r="E33" t="s">
        <v>71</v>
      </c>
      <c r="F33" t="s">
        <v>137</v>
      </c>
      <c r="G33" t="s">
        <v>5</v>
      </c>
      <c r="T33" t="s">
        <v>52</v>
      </c>
      <c r="U33">
        <f t="shared" si="0"/>
        <v>1</v>
      </c>
      <c r="V33" t="s">
        <v>14</v>
      </c>
      <c r="W33">
        <v>-9999</v>
      </c>
    </row>
    <row r="34" spans="1:23">
      <c r="A34" s="1">
        <v>2023</v>
      </c>
      <c r="B34">
        <v>1</v>
      </c>
      <c r="C34">
        <v>33</v>
      </c>
      <c r="D34">
        <v>34</v>
      </c>
      <c r="E34" t="s">
        <v>67</v>
      </c>
      <c r="F34" t="s">
        <v>138</v>
      </c>
      <c r="G34" t="s">
        <v>1</v>
      </c>
      <c r="T34" t="s">
        <v>52</v>
      </c>
      <c r="U34">
        <f t="shared" si="0"/>
        <v>1</v>
      </c>
      <c r="V34" t="s">
        <v>1114</v>
      </c>
      <c r="W34">
        <v>-9999</v>
      </c>
    </row>
    <row r="35" spans="1:23">
      <c r="A35" s="1">
        <v>2023</v>
      </c>
      <c r="B35">
        <v>1</v>
      </c>
      <c r="C35">
        <v>34</v>
      </c>
      <c r="D35">
        <v>35</v>
      </c>
      <c r="E35" t="s">
        <v>75</v>
      </c>
      <c r="F35" t="s">
        <v>139</v>
      </c>
      <c r="G35" t="s">
        <v>1</v>
      </c>
      <c r="T35" t="s">
        <v>52</v>
      </c>
      <c r="U35">
        <f t="shared" si="0"/>
        <v>1</v>
      </c>
      <c r="V35" t="s">
        <v>14</v>
      </c>
      <c r="W35">
        <v>-9999</v>
      </c>
    </row>
    <row r="36" spans="1:23">
      <c r="A36" s="1">
        <v>2023</v>
      </c>
      <c r="B36">
        <v>1</v>
      </c>
      <c r="C36">
        <v>35</v>
      </c>
      <c r="D36">
        <v>36</v>
      </c>
      <c r="E36" t="s">
        <v>65</v>
      </c>
      <c r="F36" t="s">
        <v>140</v>
      </c>
      <c r="G36" t="s">
        <v>1</v>
      </c>
      <c r="T36" t="s">
        <v>52</v>
      </c>
      <c r="U36">
        <f t="shared" si="0"/>
        <v>1</v>
      </c>
      <c r="V36" t="s">
        <v>1116</v>
      </c>
      <c r="W36">
        <v>-9999</v>
      </c>
    </row>
    <row r="37" spans="1:23">
      <c r="A37" s="1">
        <v>2023</v>
      </c>
      <c r="B37">
        <v>1</v>
      </c>
      <c r="C37">
        <v>36</v>
      </c>
      <c r="D37">
        <v>30</v>
      </c>
      <c r="E37" t="s">
        <v>79</v>
      </c>
      <c r="F37" t="s">
        <v>141</v>
      </c>
      <c r="G37" t="s">
        <v>2</v>
      </c>
      <c r="T37" t="s">
        <v>52</v>
      </c>
      <c r="U37">
        <f t="shared" si="0"/>
        <v>1</v>
      </c>
      <c r="V37" t="s">
        <v>13</v>
      </c>
      <c r="W37">
        <v>-9999</v>
      </c>
    </row>
    <row r="38" spans="1:23">
      <c r="A38" s="1">
        <v>2023</v>
      </c>
      <c r="B38">
        <v>1</v>
      </c>
      <c r="C38">
        <v>37</v>
      </c>
      <c r="D38">
        <v>37</v>
      </c>
      <c r="E38" t="s">
        <v>55</v>
      </c>
      <c r="F38" t="s">
        <v>142</v>
      </c>
      <c r="G38" t="s">
        <v>5</v>
      </c>
      <c r="H38">
        <v>2.2999999999999998</v>
      </c>
      <c r="I38" s="3">
        <v>41</v>
      </c>
      <c r="J38">
        <v>153</v>
      </c>
      <c r="K38">
        <v>2</v>
      </c>
      <c r="L38">
        <v>0.30099999999999999</v>
      </c>
      <c r="M38">
        <v>0.85299999999999998</v>
      </c>
      <c r="T38" t="s">
        <v>52</v>
      </c>
      <c r="U38">
        <f t="shared" si="0"/>
        <v>1</v>
      </c>
      <c r="V38" t="str">
        <f t="shared" si="1"/>
        <v>MLB</v>
      </c>
      <c r="W38" t="s">
        <v>1866</v>
      </c>
    </row>
    <row r="39" spans="1:23">
      <c r="A39" s="1">
        <v>2023</v>
      </c>
      <c r="B39">
        <v>1</v>
      </c>
      <c r="C39">
        <v>38</v>
      </c>
      <c r="D39">
        <v>38</v>
      </c>
      <c r="E39" t="s">
        <v>35</v>
      </c>
      <c r="F39" t="s">
        <v>143</v>
      </c>
      <c r="G39" t="s">
        <v>1</v>
      </c>
      <c r="T39" t="s">
        <v>34</v>
      </c>
      <c r="U39">
        <f t="shared" si="0"/>
        <v>0</v>
      </c>
      <c r="V39" t="s">
        <v>1114</v>
      </c>
      <c r="W39">
        <v>-9999</v>
      </c>
    </row>
    <row r="40" spans="1:23">
      <c r="A40" s="1">
        <v>2023</v>
      </c>
      <c r="B40">
        <v>1</v>
      </c>
      <c r="C40">
        <v>39</v>
      </c>
      <c r="D40">
        <v>39</v>
      </c>
      <c r="E40" t="s">
        <v>39</v>
      </c>
      <c r="F40" t="s">
        <v>144</v>
      </c>
      <c r="G40" t="s">
        <v>11</v>
      </c>
      <c r="T40" t="s">
        <v>52</v>
      </c>
      <c r="U40">
        <f t="shared" si="0"/>
        <v>1</v>
      </c>
      <c r="V40" t="s">
        <v>14</v>
      </c>
      <c r="W40">
        <v>-9999</v>
      </c>
    </row>
  </sheetData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07A62-19CC-4D27-AB3C-A6C75E3CE31B}">
  <dimension ref="A1:W40"/>
  <sheetViews>
    <sheetView tabSelected="1" zoomScaleNormal="100" workbookViewId="0">
      <pane ySplit="1" topLeftCell="A5" activePane="bottomLeft" state="frozen"/>
      <selection pane="bottomLeft" activeCell="H8" sqref="H8"/>
    </sheetView>
  </sheetViews>
  <sheetFormatPr defaultRowHeight="14.5"/>
  <cols>
    <col min="1" max="1" width="5.1796875" bestFit="1" customWidth="1"/>
    <col min="2" max="2" width="4.26953125" bestFit="1" customWidth="1"/>
    <col min="3" max="3" width="8.36328125" bestFit="1" customWidth="1"/>
    <col min="4" max="4" width="6.26953125" bestFit="1" customWidth="1"/>
    <col min="5" max="5" width="13" bestFit="1" customWidth="1"/>
    <col min="6" max="6" width="24.36328125" bestFit="1" customWidth="1"/>
    <col min="7" max="7" width="4.453125" bestFit="1" customWidth="1"/>
    <col min="8" max="8" width="5" bestFit="1" customWidth="1"/>
    <col min="9" max="9" width="5.81640625" bestFit="1" customWidth="1"/>
    <col min="10" max="10" width="4.1796875" bestFit="1" customWidth="1"/>
    <col min="11" max="11" width="3.54296875" bestFit="1" customWidth="1"/>
    <col min="12" max="13" width="6.1796875" bestFit="1" customWidth="1"/>
    <col min="14" max="14" width="3.1796875" bestFit="1" customWidth="1"/>
    <col min="15" max="15" width="2.81640625" bestFit="1" customWidth="1"/>
    <col min="16" max="16" width="2.1796875" bestFit="1" customWidth="1"/>
    <col min="17" max="17" width="5.1796875" bestFit="1" customWidth="1"/>
    <col min="18" max="18" width="5.6328125" bestFit="1" customWidth="1"/>
    <col min="19" max="19" width="3.26953125" bestFit="1" customWidth="1"/>
    <col min="20" max="20" width="4.54296875" bestFit="1" customWidth="1"/>
    <col min="21" max="21" width="4" bestFit="1" customWidth="1"/>
    <col min="22" max="22" width="9" bestFit="1" customWidth="1"/>
    <col min="23" max="23" width="10" bestFit="1" customWidth="1"/>
    <col min="24" max="24" width="48" bestFit="1" customWidth="1"/>
    <col min="25" max="25" width="14.36328125" bestFit="1" customWidth="1"/>
  </cols>
  <sheetData>
    <row r="1" spans="1:23">
      <c r="A1" s="1" t="s">
        <v>10</v>
      </c>
      <c r="B1" t="s">
        <v>15</v>
      </c>
      <c r="C1" t="s">
        <v>104</v>
      </c>
      <c r="D1" t="s">
        <v>17</v>
      </c>
      <c r="E1" t="s">
        <v>18</v>
      </c>
      <c r="F1" t="s">
        <v>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21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105</v>
      </c>
      <c r="V1" t="s">
        <v>1111</v>
      </c>
      <c r="W1" t="s">
        <v>1181</v>
      </c>
    </row>
    <row r="2" spans="1:23">
      <c r="A2" s="1">
        <v>2024</v>
      </c>
      <c r="B2">
        <v>1</v>
      </c>
      <c r="C2">
        <v>1</v>
      </c>
      <c r="D2">
        <v>1</v>
      </c>
      <c r="E2" t="s">
        <v>32</v>
      </c>
      <c r="F2" t="s">
        <v>33</v>
      </c>
      <c r="G2" t="s">
        <v>0</v>
      </c>
      <c r="H2">
        <v>0.4</v>
      </c>
      <c r="I2" s="2">
        <v>14</v>
      </c>
      <c r="J2">
        <v>45</v>
      </c>
      <c r="K2">
        <v>1</v>
      </c>
      <c r="L2">
        <v>0.222</v>
      </c>
      <c r="M2">
        <v>0.71799999999999997</v>
      </c>
      <c r="T2" t="s">
        <v>34</v>
      </c>
      <c r="U2">
        <f>IF(ISNUMBER(SEARCH("HS",T2)),1,0)</f>
        <v>0</v>
      </c>
      <c r="V2" t="str">
        <f>IF(ISNUMBER(H2),"MLB","")</f>
        <v>MLB</v>
      </c>
      <c r="W2" t="s">
        <v>1867</v>
      </c>
    </row>
    <row r="3" spans="1:23">
      <c r="A3" s="1">
        <v>2024</v>
      </c>
      <c r="B3">
        <v>1</v>
      </c>
      <c r="C3">
        <v>2</v>
      </c>
      <c r="D3">
        <v>2</v>
      </c>
      <c r="E3" t="s">
        <v>35</v>
      </c>
      <c r="F3" t="s">
        <v>36</v>
      </c>
      <c r="G3" t="s">
        <v>1</v>
      </c>
      <c r="H3">
        <v>2.2999999999999998</v>
      </c>
      <c r="I3" s="2">
        <v>0</v>
      </c>
      <c r="J3">
        <v>0</v>
      </c>
      <c r="K3">
        <v>0</v>
      </c>
      <c r="N3">
        <v>21</v>
      </c>
      <c r="O3">
        <v>4</v>
      </c>
      <c r="P3">
        <v>4</v>
      </c>
      <c r="Q3">
        <v>3.29</v>
      </c>
      <c r="R3">
        <v>1.17</v>
      </c>
      <c r="S3">
        <v>0</v>
      </c>
      <c r="T3" t="s">
        <v>34</v>
      </c>
      <c r="U3">
        <f t="shared" ref="U3:U40" si="0">IF(ISNUMBER(SEARCH("HS",T3)),1,0)</f>
        <v>0</v>
      </c>
      <c r="V3" t="str">
        <f t="shared" ref="V3:V32" si="1">IF(ISNUMBER(H3),"MLB","")</f>
        <v>MLB</v>
      </c>
      <c r="W3" t="s">
        <v>1868</v>
      </c>
    </row>
    <row r="4" spans="1:23">
      <c r="A4" s="1">
        <v>2024</v>
      </c>
      <c r="B4">
        <v>1</v>
      </c>
      <c r="C4">
        <v>3</v>
      </c>
      <c r="D4">
        <v>3</v>
      </c>
      <c r="E4" t="s">
        <v>37</v>
      </c>
      <c r="F4" t="s">
        <v>38</v>
      </c>
      <c r="G4" t="s">
        <v>2</v>
      </c>
      <c r="I4" s="2"/>
      <c r="T4" t="s">
        <v>34</v>
      </c>
      <c r="U4">
        <f t="shared" si="0"/>
        <v>0</v>
      </c>
      <c r="V4" t="s">
        <v>12</v>
      </c>
      <c r="W4">
        <v>-9999</v>
      </c>
    </row>
    <row r="5" spans="1:23">
      <c r="A5" s="1">
        <v>2024</v>
      </c>
      <c r="B5">
        <v>1</v>
      </c>
      <c r="C5">
        <v>4</v>
      </c>
      <c r="D5">
        <v>4</v>
      </c>
      <c r="E5" t="s">
        <v>39</v>
      </c>
      <c r="F5" t="s">
        <v>40</v>
      </c>
      <c r="G5" t="s">
        <v>3</v>
      </c>
      <c r="H5">
        <v>6.7</v>
      </c>
      <c r="I5" s="2">
        <v>158</v>
      </c>
      <c r="J5">
        <v>570</v>
      </c>
      <c r="K5">
        <v>42</v>
      </c>
      <c r="L5">
        <v>0.28399999999999997</v>
      </c>
      <c r="M5">
        <v>0.96799999999999997</v>
      </c>
      <c r="T5" t="s">
        <v>34</v>
      </c>
      <c r="U5">
        <f t="shared" si="0"/>
        <v>0</v>
      </c>
      <c r="V5" t="str">
        <f t="shared" si="1"/>
        <v>MLB</v>
      </c>
      <c r="W5" t="s">
        <v>1869</v>
      </c>
    </row>
    <row r="6" spans="1:23">
      <c r="A6" s="1">
        <v>2024</v>
      </c>
      <c r="B6">
        <v>1</v>
      </c>
      <c r="C6">
        <v>5</v>
      </c>
      <c r="D6">
        <v>5</v>
      </c>
      <c r="E6" t="s">
        <v>41</v>
      </c>
      <c r="F6" t="s">
        <v>42</v>
      </c>
      <c r="G6" t="s">
        <v>1</v>
      </c>
      <c r="I6" s="2"/>
      <c r="T6" t="s">
        <v>34</v>
      </c>
      <c r="U6">
        <f t="shared" si="0"/>
        <v>0</v>
      </c>
      <c r="V6" t="s">
        <v>12</v>
      </c>
      <c r="W6">
        <v>-9999</v>
      </c>
    </row>
    <row r="7" spans="1:23">
      <c r="A7" s="1">
        <v>2024</v>
      </c>
      <c r="B7">
        <v>1</v>
      </c>
      <c r="C7">
        <v>6</v>
      </c>
      <c r="D7">
        <v>6</v>
      </c>
      <c r="E7" t="s">
        <v>43</v>
      </c>
      <c r="F7" t="s">
        <v>44</v>
      </c>
      <c r="G7" t="s">
        <v>45</v>
      </c>
      <c r="H7">
        <v>-0.9</v>
      </c>
      <c r="I7" s="2">
        <v>101</v>
      </c>
      <c r="J7">
        <v>337</v>
      </c>
      <c r="K7">
        <v>11</v>
      </c>
      <c r="L7">
        <v>0.187</v>
      </c>
      <c r="M7">
        <v>0.59899999999999998</v>
      </c>
      <c r="T7" t="s">
        <v>34</v>
      </c>
      <c r="U7">
        <f t="shared" si="0"/>
        <v>0</v>
      </c>
      <c r="V7" t="str">
        <f t="shared" si="1"/>
        <v>MLB</v>
      </c>
      <c r="W7" t="s">
        <v>1870</v>
      </c>
    </row>
    <row r="8" spans="1:23">
      <c r="A8" s="1">
        <v>2024</v>
      </c>
      <c r="B8">
        <v>1</v>
      </c>
      <c r="C8">
        <v>7</v>
      </c>
      <c r="D8">
        <v>7</v>
      </c>
      <c r="E8" t="s">
        <v>46</v>
      </c>
      <c r="F8" t="s">
        <v>47</v>
      </c>
      <c r="G8" t="s">
        <v>5</v>
      </c>
      <c r="H8">
        <v>2.2999999999999998</v>
      </c>
      <c r="I8" s="2">
        <v>42</v>
      </c>
      <c r="J8">
        <v>161</v>
      </c>
      <c r="K8">
        <v>8</v>
      </c>
      <c r="L8">
        <v>0.248</v>
      </c>
      <c r="M8">
        <v>0.79100000000000004</v>
      </c>
      <c r="T8" t="s">
        <v>34</v>
      </c>
      <c r="U8">
        <f t="shared" si="0"/>
        <v>0</v>
      </c>
      <c r="V8" t="str">
        <f t="shared" si="1"/>
        <v>MLB</v>
      </c>
      <c r="W8" t="s">
        <v>1871</v>
      </c>
    </row>
    <row r="9" spans="1:23">
      <c r="A9" s="1">
        <v>2024</v>
      </c>
      <c r="B9">
        <v>1</v>
      </c>
      <c r="C9">
        <v>8</v>
      </c>
      <c r="D9">
        <v>8</v>
      </c>
      <c r="E9" t="s">
        <v>48</v>
      </c>
      <c r="F9" t="s">
        <v>49</v>
      </c>
      <c r="G9" t="s">
        <v>0</v>
      </c>
      <c r="H9">
        <v>0.1</v>
      </c>
      <c r="I9" s="2">
        <v>53</v>
      </c>
      <c r="J9">
        <v>162</v>
      </c>
      <c r="K9">
        <v>7</v>
      </c>
      <c r="L9">
        <v>0.19800000000000001</v>
      </c>
      <c r="M9">
        <v>0.65500000000000003</v>
      </c>
      <c r="T9" t="s">
        <v>34</v>
      </c>
      <c r="U9">
        <f t="shared" si="0"/>
        <v>0</v>
      </c>
      <c r="V9" t="str">
        <f t="shared" si="1"/>
        <v>MLB</v>
      </c>
      <c r="W9" t="s">
        <v>1872</v>
      </c>
    </row>
    <row r="10" spans="1:23">
      <c r="A10" s="1">
        <v>2024</v>
      </c>
      <c r="B10">
        <v>1</v>
      </c>
      <c r="C10">
        <v>9</v>
      </c>
      <c r="D10">
        <v>9</v>
      </c>
      <c r="E10" t="s">
        <v>50</v>
      </c>
      <c r="F10" t="s">
        <v>51</v>
      </c>
      <c r="G10" t="s">
        <v>5</v>
      </c>
      <c r="H10">
        <v>1.1000000000000001</v>
      </c>
      <c r="I10" s="2">
        <v>37</v>
      </c>
      <c r="J10">
        <v>133</v>
      </c>
      <c r="K10">
        <v>3</v>
      </c>
      <c r="L10">
        <v>0.248</v>
      </c>
      <c r="M10">
        <v>0.70199999999999996</v>
      </c>
      <c r="T10" t="s">
        <v>52</v>
      </c>
      <c r="U10">
        <f t="shared" si="0"/>
        <v>1</v>
      </c>
      <c r="V10" t="str">
        <f t="shared" si="1"/>
        <v>MLB</v>
      </c>
      <c r="W10" t="s">
        <v>1873</v>
      </c>
    </row>
    <row r="11" spans="1:23">
      <c r="A11" s="1">
        <v>2024</v>
      </c>
      <c r="B11">
        <v>1</v>
      </c>
      <c r="C11">
        <v>10</v>
      </c>
      <c r="D11">
        <v>10</v>
      </c>
      <c r="E11" t="s">
        <v>53</v>
      </c>
      <c r="F11" t="s">
        <v>54</v>
      </c>
      <c r="G11" t="s">
        <v>5</v>
      </c>
      <c r="I11" s="2"/>
      <c r="T11" t="s">
        <v>34</v>
      </c>
      <c r="U11">
        <f t="shared" si="0"/>
        <v>0</v>
      </c>
      <c r="V11" t="s">
        <v>13</v>
      </c>
      <c r="W11">
        <v>-9999</v>
      </c>
    </row>
    <row r="12" spans="1:23">
      <c r="A12" s="1">
        <v>2024</v>
      </c>
      <c r="B12">
        <v>1</v>
      </c>
      <c r="C12">
        <v>11</v>
      </c>
      <c r="D12">
        <v>11</v>
      </c>
      <c r="E12" t="s">
        <v>55</v>
      </c>
      <c r="F12" t="s">
        <v>56</v>
      </c>
      <c r="G12" t="s">
        <v>5</v>
      </c>
      <c r="I12" s="2"/>
      <c r="T12" t="s">
        <v>52</v>
      </c>
      <c r="U12">
        <f t="shared" si="0"/>
        <v>1</v>
      </c>
      <c r="V12" t="s">
        <v>14</v>
      </c>
      <c r="W12">
        <v>-9999</v>
      </c>
    </row>
    <row r="13" spans="1:23">
      <c r="A13" s="1">
        <v>2024</v>
      </c>
      <c r="B13">
        <v>1</v>
      </c>
      <c r="C13">
        <v>12</v>
      </c>
      <c r="D13">
        <v>12</v>
      </c>
      <c r="E13" t="s">
        <v>57</v>
      </c>
      <c r="F13" t="s">
        <v>58</v>
      </c>
      <c r="G13" t="s">
        <v>2</v>
      </c>
      <c r="I13" s="2"/>
      <c r="T13" t="s">
        <v>34</v>
      </c>
      <c r="U13">
        <f t="shared" si="0"/>
        <v>0</v>
      </c>
      <c r="V13" t="s">
        <v>12</v>
      </c>
      <c r="W13">
        <v>-9999</v>
      </c>
    </row>
    <row r="14" spans="1:23">
      <c r="A14" s="1">
        <v>2024</v>
      </c>
      <c r="B14">
        <v>1</v>
      </c>
      <c r="C14">
        <v>13</v>
      </c>
      <c r="D14">
        <v>13</v>
      </c>
      <c r="E14" t="s">
        <v>59</v>
      </c>
      <c r="F14" t="s">
        <v>60</v>
      </c>
      <c r="G14" t="s">
        <v>2</v>
      </c>
      <c r="I14" s="2"/>
      <c r="T14" t="s">
        <v>34</v>
      </c>
      <c r="U14">
        <f t="shared" si="0"/>
        <v>0</v>
      </c>
      <c r="V14" t="s">
        <v>12</v>
      </c>
      <c r="W14">
        <v>-9999</v>
      </c>
    </row>
    <row r="15" spans="1:23">
      <c r="A15" s="1">
        <v>2024</v>
      </c>
      <c r="B15">
        <v>1</v>
      </c>
      <c r="C15">
        <v>14</v>
      </c>
      <c r="D15">
        <v>14</v>
      </c>
      <c r="E15" t="s">
        <v>61</v>
      </c>
      <c r="F15" t="s">
        <v>62</v>
      </c>
      <c r="G15" t="s">
        <v>11</v>
      </c>
      <c r="H15">
        <v>2.1</v>
      </c>
      <c r="I15" s="2">
        <v>177</v>
      </c>
      <c r="J15">
        <v>585</v>
      </c>
      <c r="K15">
        <v>13</v>
      </c>
      <c r="L15">
        <v>0.22900000000000001</v>
      </c>
      <c r="M15">
        <v>0.66200000000000003</v>
      </c>
      <c r="T15" t="s">
        <v>34</v>
      </c>
      <c r="U15">
        <f t="shared" si="0"/>
        <v>0</v>
      </c>
      <c r="V15" t="str">
        <f t="shared" si="1"/>
        <v>MLB</v>
      </c>
      <c r="W15" t="s">
        <v>1874</v>
      </c>
    </row>
    <row r="16" spans="1:23">
      <c r="A16" s="1">
        <v>2024</v>
      </c>
      <c r="B16">
        <v>1</v>
      </c>
      <c r="C16">
        <v>15</v>
      </c>
      <c r="D16">
        <v>15</v>
      </c>
      <c r="E16" t="s">
        <v>63</v>
      </c>
      <c r="F16" t="s">
        <v>64</v>
      </c>
      <c r="G16" t="s">
        <v>1</v>
      </c>
      <c r="I16" s="2"/>
      <c r="T16" t="s">
        <v>34</v>
      </c>
      <c r="U16">
        <f t="shared" si="0"/>
        <v>0</v>
      </c>
      <c r="V16" t="s">
        <v>13</v>
      </c>
      <c r="W16">
        <v>-9999</v>
      </c>
    </row>
    <row r="17" spans="1:23">
      <c r="A17" s="1">
        <v>2024</v>
      </c>
      <c r="B17">
        <v>1</v>
      </c>
      <c r="C17">
        <v>16</v>
      </c>
      <c r="D17">
        <v>16</v>
      </c>
      <c r="E17" t="s">
        <v>65</v>
      </c>
      <c r="F17" t="s">
        <v>66</v>
      </c>
      <c r="G17" t="s">
        <v>2</v>
      </c>
      <c r="I17" s="2"/>
      <c r="T17" t="s">
        <v>52</v>
      </c>
      <c r="U17">
        <f t="shared" si="0"/>
        <v>1</v>
      </c>
      <c r="V17" t="s">
        <v>1114</v>
      </c>
      <c r="W17">
        <v>-9999</v>
      </c>
    </row>
    <row r="18" spans="1:23">
      <c r="A18" s="1">
        <v>2024</v>
      </c>
      <c r="B18">
        <v>1</v>
      </c>
      <c r="C18">
        <v>17</v>
      </c>
      <c r="D18">
        <v>17</v>
      </c>
      <c r="E18" t="s">
        <v>67</v>
      </c>
      <c r="F18" t="s">
        <v>68</v>
      </c>
      <c r="G18" t="s">
        <v>2</v>
      </c>
      <c r="I18" s="2"/>
      <c r="T18" t="s">
        <v>52</v>
      </c>
      <c r="U18">
        <f t="shared" si="0"/>
        <v>1</v>
      </c>
      <c r="V18" t="s">
        <v>14</v>
      </c>
      <c r="W18">
        <v>-9999</v>
      </c>
    </row>
    <row r="19" spans="1:23">
      <c r="A19" s="1">
        <v>2024</v>
      </c>
      <c r="B19">
        <v>1</v>
      </c>
      <c r="C19">
        <v>18</v>
      </c>
      <c r="D19">
        <v>18</v>
      </c>
      <c r="E19" t="s">
        <v>69</v>
      </c>
      <c r="F19" t="s">
        <v>70</v>
      </c>
      <c r="G19" t="s">
        <v>2</v>
      </c>
      <c r="I19" s="2"/>
      <c r="T19" t="s">
        <v>52</v>
      </c>
      <c r="U19">
        <f t="shared" si="0"/>
        <v>1</v>
      </c>
      <c r="V19" t="s">
        <v>14</v>
      </c>
      <c r="W19">
        <v>-9999</v>
      </c>
    </row>
    <row r="20" spans="1:23">
      <c r="A20" s="1">
        <v>2024</v>
      </c>
      <c r="B20">
        <v>1</v>
      </c>
      <c r="C20">
        <v>19</v>
      </c>
      <c r="D20">
        <v>19</v>
      </c>
      <c r="E20" t="s">
        <v>71</v>
      </c>
      <c r="F20" t="s">
        <v>72</v>
      </c>
      <c r="G20" t="s">
        <v>2</v>
      </c>
      <c r="H20">
        <v>-0.1</v>
      </c>
      <c r="I20" s="2">
        <v>39</v>
      </c>
      <c r="J20">
        <v>126</v>
      </c>
      <c r="K20">
        <v>3</v>
      </c>
      <c r="L20">
        <v>0.23</v>
      </c>
      <c r="M20">
        <v>0.63300000000000001</v>
      </c>
      <c r="T20" t="s">
        <v>34</v>
      </c>
      <c r="U20">
        <f t="shared" si="0"/>
        <v>0</v>
      </c>
      <c r="V20" t="str">
        <f t="shared" si="1"/>
        <v>MLB</v>
      </c>
      <c r="W20" t="s">
        <v>1875</v>
      </c>
    </row>
    <row r="21" spans="1:23">
      <c r="A21" s="1">
        <v>2024</v>
      </c>
      <c r="B21">
        <v>1</v>
      </c>
      <c r="C21">
        <v>20</v>
      </c>
      <c r="D21">
        <v>20</v>
      </c>
      <c r="E21" t="s">
        <v>73</v>
      </c>
      <c r="F21" t="s">
        <v>74</v>
      </c>
      <c r="G21" t="s">
        <v>1</v>
      </c>
      <c r="H21">
        <v>1.2</v>
      </c>
      <c r="I21" s="2"/>
      <c r="N21">
        <v>6</v>
      </c>
      <c r="O21">
        <v>2</v>
      </c>
      <c r="P21">
        <v>1</v>
      </c>
      <c r="Q21">
        <v>1.98</v>
      </c>
      <c r="R21">
        <v>1.39</v>
      </c>
      <c r="S21">
        <v>0</v>
      </c>
      <c r="T21" t="s">
        <v>34</v>
      </c>
      <c r="U21">
        <f t="shared" si="0"/>
        <v>0</v>
      </c>
      <c r="V21" t="str">
        <f t="shared" si="1"/>
        <v>MLB</v>
      </c>
      <c r="W21" t="s">
        <v>1876</v>
      </c>
    </row>
    <row r="22" spans="1:23">
      <c r="A22" s="1">
        <v>2024</v>
      </c>
      <c r="B22">
        <v>1</v>
      </c>
      <c r="C22">
        <v>21</v>
      </c>
      <c r="D22">
        <v>21</v>
      </c>
      <c r="E22" t="s">
        <v>75</v>
      </c>
      <c r="F22" t="s">
        <v>76</v>
      </c>
      <c r="G22" t="s">
        <v>5</v>
      </c>
      <c r="I22" s="2"/>
      <c r="T22" t="s">
        <v>34</v>
      </c>
      <c r="U22">
        <f t="shared" si="0"/>
        <v>0</v>
      </c>
      <c r="V22" t="s">
        <v>12</v>
      </c>
      <c r="W22">
        <v>-9999</v>
      </c>
    </row>
    <row r="23" spans="1:23">
      <c r="A23" s="1">
        <v>2024</v>
      </c>
      <c r="B23">
        <v>1</v>
      </c>
      <c r="C23">
        <v>22</v>
      </c>
      <c r="D23">
        <v>22</v>
      </c>
      <c r="E23" t="s">
        <v>77</v>
      </c>
      <c r="F23" t="s">
        <v>78</v>
      </c>
      <c r="G23" t="s">
        <v>2</v>
      </c>
      <c r="I23" s="2"/>
      <c r="T23" t="s">
        <v>34</v>
      </c>
      <c r="U23">
        <f t="shared" si="0"/>
        <v>0</v>
      </c>
      <c r="V23" t="s">
        <v>14</v>
      </c>
      <c r="W23">
        <v>-9999</v>
      </c>
    </row>
    <row r="24" spans="1:23">
      <c r="A24" s="1">
        <v>2024</v>
      </c>
      <c r="B24">
        <v>1</v>
      </c>
      <c r="C24">
        <v>23</v>
      </c>
      <c r="D24">
        <v>23</v>
      </c>
      <c r="E24" t="s">
        <v>79</v>
      </c>
      <c r="F24" t="s">
        <v>80</v>
      </c>
      <c r="G24" t="s">
        <v>5</v>
      </c>
      <c r="I24" s="2"/>
      <c r="T24" t="s">
        <v>52</v>
      </c>
      <c r="U24">
        <f t="shared" si="0"/>
        <v>1</v>
      </c>
      <c r="V24" t="s">
        <v>1114</v>
      </c>
      <c r="W24">
        <v>-9999</v>
      </c>
    </row>
    <row r="25" spans="1:23">
      <c r="A25" s="1">
        <v>2024</v>
      </c>
      <c r="B25">
        <v>1</v>
      </c>
      <c r="C25">
        <v>24</v>
      </c>
      <c r="D25">
        <v>24</v>
      </c>
      <c r="E25" t="s">
        <v>81</v>
      </c>
      <c r="F25" t="s">
        <v>82</v>
      </c>
      <c r="G25" t="s">
        <v>1</v>
      </c>
      <c r="I25" s="2"/>
      <c r="T25" t="s">
        <v>52</v>
      </c>
      <c r="U25">
        <f t="shared" si="0"/>
        <v>1</v>
      </c>
      <c r="V25" t="s">
        <v>14</v>
      </c>
      <c r="W25">
        <v>-9999</v>
      </c>
    </row>
    <row r="26" spans="1:23">
      <c r="A26" s="1">
        <v>2024</v>
      </c>
      <c r="B26">
        <v>1</v>
      </c>
      <c r="C26">
        <v>25</v>
      </c>
      <c r="D26">
        <v>25</v>
      </c>
      <c r="E26" t="s">
        <v>83</v>
      </c>
      <c r="F26" t="s">
        <v>84</v>
      </c>
      <c r="G26" t="s">
        <v>1</v>
      </c>
      <c r="I26" s="2"/>
      <c r="T26" t="s">
        <v>52</v>
      </c>
      <c r="U26">
        <f t="shared" si="0"/>
        <v>1</v>
      </c>
      <c r="V26" t="s">
        <v>14</v>
      </c>
      <c r="W26">
        <v>-9999</v>
      </c>
    </row>
    <row r="27" spans="1:23">
      <c r="A27" s="1">
        <v>2024</v>
      </c>
      <c r="B27">
        <v>1</v>
      </c>
      <c r="C27">
        <v>26</v>
      </c>
      <c r="D27">
        <v>26</v>
      </c>
      <c r="E27" t="s">
        <v>85</v>
      </c>
      <c r="F27" t="s">
        <v>86</v>
      </c>
      <c r="G27" t="s">
        <v>1</v>
      </c>
      <c r="I27" s="2"/>
      <c r="T27" t="s">
        <v>34</v>
      </c>
      <c r="U27">
        <f t="shared" si="0"/>
        <v>0</v>
      </c>
      <c r="V27" t="s">
        <v>13</v>
      </c>
      <c r="W27">
        <v>-9999</v>
      </c>
    </row>
    <row r="28" spans="1:23">
      <c r="A28" s="1">
        <v>2024</v>
      </c>
      <c r="B28">
        <v>1</v>
      </c>
      <c r="C28">
        <v>27</v>
      </c>
      <c r="D28">
        <v>27</v>
      </c>
      <c r="E28" t="s">
        <v>87</v>
      </c>
      <c r="F28" t="s">
        <v>88</v>
      </c>
      <c r="G28" t="s">
        <v>2</v>
      </c>
      <c r="I28" s="2"/>
      <c r="T28" t="s">
        <v>52</v>
      </c>
      <c r="U28">
        <f t="shared" si="0"/>
        <v>1</v>
      </c>
      <c r="V28" t="s">
        <v>13</v>
      </c>
      <c r="W28">
        <v>-9999</v>
      </c>
    </row>
    <row r="29" spans="1:23">
      <c r="A29" s="1">
        <v>2024</v>
      </c>
      <c r="B29">
        <v>1</v>
      </c>
      <c r="C29">
        <v>28</v>
      </c>
      <c r="D29">
        <v>28</v>
      </c>
      <c r="E29" t="s">
        <v>89</v>
      </c>
      <c r="F29" t="s">
        <v>90</v>
      </c>
      <c r="G29" t="s">
        <v>6</v>
      </c>
      <c r="I29" s="2"/>
      <c r="T29" t="s">
        <v>34</v>
      </c>
      <c r="U29">
        <f t="shared" si="0"/>
        <v>0</v>
      </c>
      <c r="V29" t="s">
        <v>13</v>
      </c>
      <c r="W29">
        <v>-9999</v>
      </c>
    </row>
    <row r="30" spans="1:23">
      <c r="A30" s="1">
        <v>2024</v>
      </c>
      <c r="B30">
        <v>1</v>
      </c>
      <c r="C30">
        <v>29</v>
      </c>
      <c r="D30">
        <v>29</v>
      </c>
      <c r="E30" t="s">
        <v>91</v>
      </c>
      <c r="F30" t="s">
        <v>92</v>
      </c>
      <c r="G30" t="s">
        <v>2</v>
      </c>
      <c r="I30" s="2"/>
      <c r="T30" t="s">
        <v>52</v>
      </c>
      <c r="U30">
        <f t="shared" si="0"/>
        <v>1</v>
      </c>
      <c r="V30" t="s">
        <v>14</v>
      </c>
      <c r="W30">
        <v>-9999</v>
      </c>
    </row>
    <row r="31" spans="1:23">
      <c r="A31" s="1">
        <v>2024</v>
      </c>
      <c r="B31">
        <v>1</v>
      </c>
      <c r="C31">
        <v>30</v>
      </c>
      <c r="D31">
        <v>30</v>
      </c>
      <c r="E31" t="s">
        <v>93</v>
      </c>
      <c r="F31" t="s">
        <v>94</v>
      </c>
      <c r="G31" t="s">
        <v>6</v>
      </c>
      <c r="I31" s="2"/>
      <c r="T31" t="s">
        <v>34</v>
      </c>
      <c r="U31">
        <f t="shared" si="0"/>
        <v>0</v>
      </c>
      <c r="V31" t="s">
        <v>14</v>
      </c>
      <c r="W31">
        <v>-9999</v>
      </c>
    </row>
    <row r="32" spans="1:23">
      <c r="A32" s="1">
        <v>2024</v>
      </c>
      <c r="B32">
        <v>1</v>
      </c>
      <c r="C32">
        <v>31</v>
      </c>
      <c r="D32">
        <v>31</v>
      </c>
      <c r="E32" t="s">
        <v>91</v>
      </c>
      <c r="F32" t="s">
        <v>95</v>
      </c>
      <c r="G32" t="s">
        <v>2</v>
      </c>
      <c r="H32">
        <v>0.2</v>
      </c>
      <c r="I32" s="2">
        <v>6</v>
      </c>
      <c r="J32">
        <v>18</v>
      </c>
      <c r="K32">
        <v>0</v>
      </c>
      <c r="L32">
        <v>0.27800000000000002</v>
      </c>
      <c r="M32">
        <v>0.70499999999999996</v>
      </c>
      <c r="T32" t="s">
        <v>34</v>
      </c>
      <c r="U32">
        <f t="shared" si="0"/>
        <v>0</v>
      </c>
      <c r="V32" t="str">
        <f t="shared" si="1"/>
        <v>MLB</v>
      </c>
      <c r="W32" t="s">
        <v>1877</v>
      </c>
    </row>
    <row r="33" spans="1:23">
      <c r="A33" s="1">
        <v>2024</v>
      </c>
      <c r="B33">
        <v>1</v>
      </c>
      <c r="C33">
        <v>32</v>
      </c>
      <c r="D33">
        <v>32</v>
      </c>
      <c r="E33" t="s">
        <v>77</v>
      </c>
      <c r="F33" t="s">
        <v>96</v>
      </c>
      <c r="G33" t="s">
        <v>5</v>
      </c>
      <c r="I33" s="2"/>
      <c r="T33" t="s">
        <v>34</v>
      </c>
      <c r="U33">
        <f t="shared" si="0"/>
        <v>0</v>
      </c>
      <c r="V33" t="s">
        <v>13</v>
      </c>
      <c r="W33">
        <v>-9999</v>
      </c>
    </row>
    <row r="34" spans="1:23">
      <c r="A34" s="1">
        <v>2024</v>
      </c>
      <c r="B34">
        <v>1</v>
      </c>
      <c r="C34">
        <v>33</v>
      </c>
      <c r="D34">
        <v>33</v>
      </c>
      <c r="E34" t="s">
        <v>75</v>
      </c>
      <c r="F34" t="s">
        <v>97</v>
      </c>
      <c r="G34" t="s">
        <v>5</v>
      </c>
      <c r="I34" s="2"/>
      <c r="T34" t="s">
        <v>34</v>
      </c>
      <c r="U34">
        <f t="shared" si="0"/>
        <v>0</v>
      </c>
      <c r="V34" t="s">
        <v>13</v>
      </c>
      <c r="W34">
        <v>-9999</v>
      </c>
    </row>
    <row r="35" spans="1:23">
      <c r="A35" s="1">
        <v>2024</v>
      </c>
      <c r="B35">
        <v>1</v>
      </c>
      <c r="C35">
        <v>34</v>
      </c>
      <c r="D35">
        <v>34</v>
      </c>
      <c r="E35" t="s">
        <v>67</v>
      </c>
      <c r="F35" t="s">
        <v>98</v>
      </c>
      <c r="G35" t="s">
        <v>3</v>
      </c>
      <c r="I35" s="2"/>
      <c r="T35" t="s">
        <v>34</v>
      </c>
      <c r="U35">
        <f t="shared" si="0"/>
        <v>0</v>
      </c>
      <c r="V35" t="s">
        <v>13</v>
      </c>
      <c r="W35">
        <v>-9999</v>
      </c>
    </row>
    <row r="36" spans="1:23">
      <c r="A36" s="1">
        <v>2024</v>
      </c>
      <c r="B36">
        <v>1</v>
      </c>
      <c r="C36">
        <v>35</v>
      </c>
      <c r="D36">
        <v>35</v>
      </c>
      <c r="E36" t="s">
        <v>91</v>
      </c>
      <c r="F36" t="s">
        <v>99</v>
      </c>
      <c r="G36" t="s">
        <v>5</v>
      </c>
      <c r="I36" s="2"/>
      <c r="T36" t="s">
        <v>52</v>
      </c>
      <c r="U36">
        <f t="shared" si="0"/>
        <v>1</v>
      </c>
      <c r="V36" t="s">
        <v>1114</v>
      </c>
      <c r="W36">
        <v>-9999</v>
      </c>
    </row>
    <row r="37" spans="1:23">
      <c r="A37" s="1">
        <v>2024</v>
      </c>
      <c r="B37">
        <v>1</v>
      </c>
      <c r="C37">
        <v>36</v>
      </c>
      <c r="D37">
        <v>36</v>
      </c>
      <c r="E37" t="s">
        <v>32</v>
      </c>
      <c r="F37" t="s">
        <v>100</v>
      </c>
      <c r="G37" t="s">
        <v>1</v>
      </c>
      <c r="I37" s="2"/>
      <c r="T37" t="s">
        <v>52</v>
      </c>
      <c r="U37">
        <f t="shared" si="0"/>
        <v>1</v>
      </c>
      <c r="V37" t="s">
        <v>14</v>
      </c>
      <c r="W37">
        <v>-9999</v>
      </c>
    </row>
    <row r="38" spans="1:23">
      <c r="A38" s="1">
        <v>2024</v>
      </c>
      <c r="B38">
        <v>1</v>
      </c>
      <c r="C38">
        <v>37</v>
      </c>
      <c r="D38">
        <v>37</v>
      </c>
      <c r="E38" t="s">
        <v>50</v>
      </c>
      <c r="F38" t="s">
        <v>101</v>
      </c>
      <c r="G38" t="s">
        <v>1</v>
      </c>
      <c r="I38" s="2"/>
      <c r="T38" t="s">
        <v>52</v>
      </c>
      <c r="U38">
        <f t="shared" si="0"/>
        <v>1</v>
      </c>
      <c r="V38" t="s">
        <v>1114</v>
      </c>
      <c r="W38">
        <v>-9999</v>
      </c>
    </row>
    <row r="39" spans="1:23">
      <c r="A39" s="1">
        <v>2024</v>
      </c>
      <c r="B39">
        <v>1</v>
      </c>
      <c r="C39">
        <v>38</v>
      </c>
      <c r="D39">
        <v>38</v>
      </c>
      <c r="E39" t="s">
        <v>37</v>
      </c>
      <c r="F39" t="s">
        <v>102</v>
      </c>
      <c r="G39" t="s">
        <v>1</v>
      </c>
      <c r="I39" s="2"/>
      <c r="T39" t="s">
        <v>34</v>
      </c>
      <c r="U39">
        <f t="shared" si="0"/>
        <v>0</v>
      </c>
      <c r="V39" t="s">
        <v>14</v>
      </c>
      <c r="W39">
        <v>-9999</v>
      </c>
    </row>
    <row r="40" spans="1:23">
      <c r="A40" s="1">
        <v>2024</v>
      </c>
      <c r="B40">
        <v>1</v>
      </c>
      <c r="C40">
        <v>39</v>
      </c>
      <c r="D40">
        <v>39</v>
      </c>
      <c r="E40" t="s">
        <v>53</v>
      </c>
      <c r="F40" t="s">
        <v>103</v>
      </c>
      <c r="G40" t="s">
        <v>6</v>
      </c>
      <c r="T40" t="s">
        <v>34</v>
      </c>
      <c r="U40">
        <f t="shared" si="0"/>
        <v>0</v>
      </c>
      <c r="V40" t="s">
        <v>13</v>
      </c>
      <c r="W40">
        <v>-9999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2001 Draft</vt:lpstr>
      <vt:lpstr>2002 Draft</vt:lpstr>
      <vt:lpstr>2003 Draft</vt:lpstr>
      <vt:lpstr>2004 Draft</vt:lpstr>
      <vt:lpstr>2005 Draft</vt:lpstr>
      <vt:lpstr>2006 Draft</vt:lpstr>
      <vt:lpstr>2007 Draft</vt:lpstr>
      <vt:lpstr>2008 Draft</vt:lpstr>
      <vt:lpstr>2009 Draft</vt:lpstr>
      <vt:lpstr>2010 Draft</vt:lpstr>
      <vt:lpstr>2011 Draft</vt:lpstr>
      <vt:lpstr>2012 Draft</vt:lpstr>
      <vt:lpstr>2013 Draft</vt:lpstr>
      <vt:lpstr>2014 Draft</vt:lpstr>
      <vt:lpstr>2015 Draft</vt:lpstr>
      <vt:lpstr>2016 Draft</vt:lpstr>
      <vt:lpstr>2017 Draft</vt:lpstr>
      <vt:lpstr>2018 Draft</vt:lpstr>
      <vt:lpstr>2019 Draft</vt:lpstr>
      <vt:lpstr>2020 Draft</vt:lpstr>
      <vt:lpstr>2021 Draft</vt:lpstr>
      <vt:lpstr>2022 Draft</vt:lpstr>
      <vt:lpstr>2023 Draft</vt:lpstr>
      <vt:lpstr>2024 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Nitsche</dc:creator>
  <cp:lastModifiedBy>Lukas Nitsche</cp:lastModifiedBy>
  <dcterms:created xsi:type="dcterms:W3CDTF">2026-05-14T16:57:08Z</dcterms:created>
  <dcterms:modified xsi:type="dcterms:W3CDTF">2026-05-20T22:21:45Z</dcterms:modified>
</cp:coreProperties>
</file>